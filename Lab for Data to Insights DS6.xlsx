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5DFD5CB-FA91-4F28-9457-ED13F102E501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Data Sheet Imtiazy" sheetId="1" r:id="rId1"/>
    <sheet name="Price Sheet" sheetId="2" r:id="rId2"/>
    <sheet name="All products" sheetId="3" state="hidden" r:id="rId3"/>
    <sheet name="Sheet8" sheetId="4" state="hidden" r:id="rId4"/>
    <sheet name="Sheet9" sheetId="5" state="hidden" r:id="rId5"/>
    <sheet name="Sheet13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6" l="1"/>
  <c r="F25" i="6" s="1"/>
  <c r="D25" i="6"/>
  <c r="G25" i="6" s="1"/>
  <c r="H25" i="6" s="1"/>
  <c r="E24" i="6"/>
  <c r="F24" i="6" s="1"/>
  <c r="D24" i="6"/>
  <c r="G24" i="6" s="1"/>
  <c r="H24" i="6" s="1"/>
  <c r="G23" i="6"/>
  <c r="H23" i="6" s="1"/>
  <c r="E23" i="6"/>
  <c r="F23" i="6" s="1"/>
  <c r="D23" i="6"/>
  <c r="D22" i="6"/>
  <c r="G22" i="6" s="1"/>
  <c r="H22" i="6" s="1"/>
  <c r="E21" i="6"/>
  <c r="F21" i="6" s="1"/>
  <c r="D21" i="6"/>
  <c r="G21" i="6" s="1"/>
  <c r="H21" i="6" s="1"/>
  <c r="E20" i="6"/>
  <c r="F20" i="6" s="1"/>
  <c r="D20" i="6"/>
  <c r="G20" i="6" s="1"/>
  <c r="H20" i="6" s="1"/>
  <c r="G19" i="6"/>
  <c r="H19" i="6" s="1"/>
  <c r="E19" i="6"/>
  <c r="F19" i="6" s="1"/>
  <c r="D19" i="6"/>
  <c r="D18" i="6"/>
  <c r="G18" i="6" s="1"/>
  <c r="H18" i="6" s="1"/>
  <c r="E17" i="6"/>
  <c r="F17" i="6" s="1"/>
  <c r="D17" i="6"/>
  <c r="G17" i="6" s="1"/>
  <c r="H17" i="6" s="1"/>
  <c r="E16" i="6"/>
  <c r="F16" i="6" s="1"/>
  <c r="D16" i="6"/>
  <c r="G16" i="6" s="1"/>
  <c r="H16" i="6" s="1"/>
  <c r="G15" i="6"/>
  <c r="H15" i="6" s="1"/>
  <c r="E15" i="6"/>
  <c r="F15" i="6" s="1"/>
  <c r="D15" i="6"/>
  <c r="D14" i="6"/>
  <c r="G14" i="6" s="1"/>
  <c r="H14" i="6" s="1"/>
  <c r="E13" i="6"/>
  <c r="F13" i="6" s="1"/>
  <c r="D13" i="6"/>
  <c r="G13" i="6" s="1"/>
  <c r="H13" i="6" s="1"/>
  <c r="E12" i="6"/>
  <c r="F12" i="6" s="1"/>
  <c r="D12" i="6"/>
  <c r="G12" i="6" s="1"/>
  <c r="H12" i="6" s="1"/>
  <c r="G11" i="6"/>
  <c r="H11" i="6" s="1"/>
  <c r="E11" i="6"/>
  <c r="F11" i="6" s="1"/>
  <c r="D11" i="6"/>
  <c r="D10" i="6"/>
  <c r="G10" i="6" s="1"/>
  <c r="H10" i="6" s="1"/>
  <c r="E9" i="6"/>
  <c r="F9" i="6" s="1"/>
  <c r="D9" i="6"/>
  <c r="G9" i="6" s="1"/>
  <c r="H9" i="6" s="1"/>
  <c r="E8" i="6"/>
  <c r="F8" i="6" s="1"/>
  <c r="D8" i="6"/>
  <c r="G8" i="6" s="1"/>
  <c r="H8" i="6" s="1"/>
  <c r="G7" i="6"/>
  <c r="H7" i="6" s="1"/>
  <c r="E7" i="6"/>
  <c r="F7" i="6" s="1"/>
  <c r="D7" i="6"/>
  <c r="D6" i="6"/>
  <c r="G6" i="6" s="1"/>
  <c r="H6" i="6" s="1"/>
  <c r="E5" i="6"/>
  <c r="F5" i="6" s="1"/>
  <c r="D5" i="6"/>
  <c r="G5" i="6" s="1"/>
  <c r="H5" i="6" s="1"/>
  <c r="E4" i="6"/>
  <c r="F4" i="6" s="1"/>
  <c r="D4" i="6"/>
  <c r="G4" i="6" s="1"/>
  <c r="H4" i="6" s="1"/>
  <c r="G3" i="6"/>
  <c r="H3" i="6" s="1"/>
  <c r="E3" i="6"/>
  <c r="F3" i="6" s="1"/>
  <c r="D3" i="6"/>
  <c r="D2" i="6"/>
  <c r="G2" i="6" s="1"/>
  <c r="H2" i="6" s="1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" i="6" l="1"/>
  <c r="F2" i="6" s="1"/>
  <c r="E6" i="6"/>
  <c r="F6" i="6" s="1"/>
  <c r="E10" i="6"/>
  <c r="F10" i="6" s="1"/>
  <c r="E14" i="6"/>
  <c r="F14" i="6" s="1"/>
  <c r="E18" i="6"/>
  <c r="F18" i="6" s="1"/>
  <c r="E22" i="6"/>
  <c r="F22" i="6" s="1"/>
</calcChain>
</file>

<file path=xl/sharedStrings.xml><?xml version="1.0" encoding="utf-8"?>
<sst xmlns="http://schemas.openxmlformats.org/spreadsheetml/2006/main" count="911" uniqueCount="74">
  <si>
    <t>Year</t>
  </si>
  <si>
    <t>Month</t>
  </si>
  <si>
    <t>Date</t>
  </si>
  <si>
    <t>Product Name</t>
  </si>
  <si>
    <t>Units</t>
  </si>
  <si>
    <t>January</t>
  </si>
  <si>
    <t>Dovelle Soft and Smooth Shampoo 500 ml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</si>
  <si>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</si>
  <si>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</si>
  <si>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</si>
  <si>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</si>
  <si>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</si>
  <si>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</si>
  <si>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</si>
  <si>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</si>
  <si>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</si>
  <si>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</si>
  <si>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</si>
  <si>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Pantel Anti Dandruff Shampoo 450 ml</t>
  </si>
  <si>
    <t>Peak &amp; Shoulders Anti Dandruff Shampoo 486 ml</t>
  </si>
  <si>
    <t>Garnel Silky Smooth Shampoo 500 ml</t>
  </si>
  <si>
    <t>Herbaluxe Long and Strong Shampoo 510 ml</t>
  </si>
  <si>
    <t>Dovelle Soft and Smooth Shampoo 200 ml</t>
  </si>
  <si>
    <t>Pantel Anti Dandruff Shampoo 175 ml</t>
  </si>
  <si>
    <t>Peak &amp; Shoulders Anti Dandruff Shampoo 185 ml</t>
  </si>
  <si>
    <t>Garnel Silky Smooth Shampoo 185 ml</t>
  </si>
  <si>
    <t>Herbaluxe Long and Strong Shampoo 190 ml</t>
  </si>
  <si>
    <t>Dovelle Soft and Smooth Conditioner 200 ml</t>
  </si>
  <si>
    <t>Pantel Anti Dandruff Conditioner 200 ml</t>
  </si>
  <si>
    <t>Peak &amp; Shoulders Anti Dandruff Conditioner 200 ml</t>
  </si>
  <si>
    <t>Garnel Silky Smooth Conditioner 200 ml</t>
  </si>
  <si>
    <t>Herbaluxe Long and Strong Conditioner 200 ml</t>
  </si>
  <si>
    <t>Full Name</t>
  </si>
  <si>
    <t>Shampoo/Conditioner</t>
  </si>
  <si>
    <t>Size</t>
  </si>
  <si>
    <t>Price Jan 2021 to Dec 2021</t>
  </si>
  <si>
    <t>Price Jan 2022 to Dec 2022</t>
  </si>
  <si>
    <t>Company</t>
  </si>
  <si>
    <t>Conditioner</t>
  </si>
  <si>
    <t>UniProc</t>
  </si>
  <si>
    <t>Shampoo</t>
  </si>
  <si>
    <t>Garnel &amp; Co</t>
  </si>
  <si>
    <t>Herbals</t>
  </si>
  <si>
    <t>P&amp;S Co</t>
  </si>
  <si>
    <t>Brand</t>
  </si>
  <si>
    <t>Variant</t>
  </si>
  <si>
    <t>Price Jan 2022 to Sept 2023</t>
  </si>
  <si>
    <t>Type</t>
  </si>
  <si>
    <t>Dovelle</t>
  </si>
  <si>
    <t>500 ml</t>
  </si>
  <si>
    <t>Soft and Smooth</t>
  </si>
  <si>
    <t>Pantel</t>
  </si>
  <si>
    <t>450 ml</t>
  </si>
  <si>
    <t>Anti Dandruff</t>
  </si>
  <si>
    <t>Peak &amp; Shoulders</t>
  </si>
  <si>
    <t>486 ml</t>
  </si>
  <si>
    <t>Garnel</t>
  </si>
  <si>
    <t>Silky Smooth</t>
  </si>
  <si>
    <t>Herbaluxe</t>
  </si>
  <si>
    <t>510 ml</t>
  </si>
  <si>
    <t>Long and Strong</t>
  </si>
  <si>
    <t>200 ml</t>
  </si>
  <si>
    <t>175 ml</t>
  </si>
  <si>
    <t>185 ml</t>
  </si>
  <si>
    <t>190 ml</t>
  </si>
  <si>
    <t>Column Labels</t>
  </si>
  <si>
    <t>Row Labels</t>
  </si>
  <si>
    <t>Grand Total</t>
  </si>
  <si>
    <t>Dovelle Soft and Smooth 500 ml</t>
  </si>
  <si>
    <t>Garnel Silky Smooth 500 ml</t>
  </si>
  <si>
    <t>Herbaluxe Long and Strong 510 ml</t>
  </si>
  <si>
    <t>Pantel Anti Dandruff 450 ml</t>
  </si>
  <si>
    <t>Peak &amp; Shoulders Anti Dandruff 486 ml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</si>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</sst>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scheme val="minor"/>
    </font>
    <font>
      <sz val="9"/>
      <color rgb="FF374151"/>
      <name val="Quattrocento Sans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F7F8"/>
        <bgColor rgb="FFF7F7F8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D9D9E3"/>
      </left>
      <right/>
      <top style="thin">
        <color rgb="FF8EAADB"/>
      </top>
      <bottom style="medium">
        <color rgb="FFD9D9E3"/>
      </bottom>
      <diagonal/>
    </border>
    <border>
      <left/>
      <right/>
      <top/>
      <bottom/>
      <diagonal/>
    </border>
    <border>
      <left style="medium">
        <color rgb="FFD9D9E3"/>
      </left>
      <right/>
      <top/>
      <bottom/>
      <diagonal/>
    </border>
    <border>
      <left/>
      <right/>
      <top/>
      <bottom style="thin">
        <color rgb="FF8EAADB"/>
      </bottom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17" fontId="1" fillId="0" borderId="5" xfId="0" applyNumberFormat="1" applyFont="1" applyBorder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" fontId="1" fillId="0" borderId="8" xfId="0" applyNumberFormat="1" applyFont="1" applyBorder="1" applyAlignment="1">
      <alignment vertical="center" wrapText="1"/>
    </xf>
    <xf numFmtId="0" fontId="2" fillId="0" borderId="8" xfId="0" applyFont="1" applyBorder="1"/>
    <xf numFmtId="0" fontId="2" fillId="0" borderId="9" xfId="0" applyFont="1" applyBorder="1"/>
    <xf numFmtId="0" fontId="3" fillId="0" borderId="0" xfId="0" applyFont="1"/>
    <xf numFmtId="0" fontId="1" fillId="2" borderId="10" xfId="0" applyFont="1" applyFill="1" applyBorder="1" applyAlignment="1">
      <alignment vertical="center" wrapText="1"/>
    </xf>
    <xf numFmtId="0" fontId="2" fillId="3" borderId="11" xfId="0" applyFont="1" applyFill="1" applyBorder="1"/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17" fontId="2" fillId="0" borderId="0" xfId="0" applyNumberFormat="1" applyFont="1" applyAlignment="1">
      <alignment horizontal="left"/>
    </xf>
    <xf numFmtId="0" fontId="4" fillId="4" borderId="13" xfId="0" applyFont="1" applyFill="1" applyBorder="1"/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3">
    <tableStyle name="Data Sheet Imtiazy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Price Sheet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All products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Dovelle Soft and Smooth 500 ml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Sheet9!$A$2:$A$25</c:f>
              <c:numCache>
                <c:formatCode>mmm\-yy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Sheet9!$B$2:$B$25</c:f>
              <c:numCache>
                <c:formatCode>General</c:formatCode>
                <c:ptCount val="24"/>
                <c:pt idx="0">
                  <c:v>13320</c:v>
                </c:pt>
                <c:pt idx="1">
                  <c:v>12950</c:v>
                </c:pt>
                <c:pt idx="2">
                  <c:v>14800</c:v>
                </c:pt>
                <c:pt idx="3">
                  <c:v>15540</c:v>
                </c:pt>
                <c:pt idx="4">
                  <c:v>16280</c:v>
                </c:pt>
                <c:pt idx="5">
                  <c:v>19240</c:v>
                </c:pt>
                <c:pt idx="6">
                  <c:v>19980</c:v>
                </c:pt>
                <c:pt idx="7">
                  <c:v>19610</c:v>
                </c:pt>
                <c:pt idx="8">
                  <c:v>17760</c:v>
                </c:pt>
                <c:pt idx="9">
                  <c:v>17020</c:v>
                </c:pt>
                <c:pt idx="10">
                  <c:v>16650</c:v>
                </c:pt>
                <c:pt idx="11">
                  <c:v>13690</c:v>
                </c:pt>
                <c:pt idx="12">
                  <c:v>13172</c:v>
                </c:pt>
                <c:pt idx="13">
                  <c:v>12802</c:v>
                </c:pt>
                <c:pt idx="14">
                  <c:v>14948</c:v>
                </c:pt>
                <c:pt idx="15">
                  <c:v>15688</c:v>
                </c:pt>
                <c:pt idx="16">
                  <c:v>16502</c:v>
                </c:pt>
                <c:pt idx="17">
                  <c:v>19462</c:v>
                </c:pt>
                <c:pt idx="18">
                  <c:v>20202</c:v>
                </c:pt>
                <c:pt idx="19">
                  <c:v>19832</c:v>
                </c:pt>
                <c:pt idx="20">
                  <c:v>17982</c:v>
                </c:pt>
                <c:pt idx="21">
                  <c:v>17168</c:v>
                </c:pt>
                <c:pt idx="22">
                  <c:v>16798</c:v>
                </c:pt>
                <c:pt idx="23">
                  <c:v>13838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5-4EA8-8969-A3AD379F6832}"/>
            </c:ext>
          </c:extLst>
        </c:ser>
        <c:ser>
          <c:idx val="1"/>
          <c:order val="1"/>
          <c:tx>
            <c:v>Garnel Silky Smooth 500 ml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Sheet9!$A$2:$A$25</c:f>
              <c:numCache>
                <c:formatCode>mmm\-yy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Sheet9!$C$2:$C$25</c:f>
              <c:numCache>
                <c:formatCode>General</c:formatCode>
                <c:ptCount val="24"/>
                <c:pt idx="0">
                  <c:v>11200</c:v>
                </c:pt>
                <c:pt idx="1">
                  <c:v>4668</c:v>
                </c:pt>
                <c:pt idx="2">
                  <c:v>3836</c:v>
                </c:pt>
                <c:pt idx="3">
                  <c:v>5897</c:v>
                </c:pt>
                <c:pt idx="4">
                  <c:v>11540</c:v>
                </c:pt>
                <c:pt idx="5">
                  <c:v>7937</c:v>
                </c:pt>
                <c:pt idx="6">
                  <c:v>4967</c:v>
                </c:pt>
                <c:pt idx="7">
                  <c:v>4251</c:v>
                </c:pt>
                <c:pt idx="8">
                  <c:v>15600</c:v>
                </c:pt>
                <c:pt idx="9">
                  <c:v>2711</c:v>
                </c:pt>
                <c:pt idx="10">
                  <c:v>1909</c:v>
                </c:pt>
                <c:pt idx="11">
                  <c:v>4797</c:v>
                </c:pt>
                <c:pt idx="12">
                  <c:v>4000</c:v>
                </c:pt>
                <c:pt idx="13">
                  <c:v>4256</c:v>
                </c:pt>
                <c:pt idx="14">
                  <c:v>3787</c:v>
                </c:pt>
                <c:pt idx="15">
                  <c:v>5090</c:v>
                </c:pt>
                <c:pt idx="16">
                  <c:v>5555</c:v>
                </c:pt>
                <c:pt idx="17">
                  <c:v>5567</c:v>
                </c:pt>
                <c:pt idx="18">
                  <c:v>8999</c:v>
                </c:pt>
                <c:pt idx="19">
                  <c:v>6777</c:v>
                </c:pt>
                <c:pt idx="20">
                  <c:v>4222</c:v>
                </c:pt>
                <c:pt idx="21">
                  <c:v>4321</c:v>
                </c:pt>
                <c:pt idx="22">
                  <c:v>4314</c:v>
                </c:pt>
                <c:pt idx="23">
                  <c:v>2890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D5-4EA8-8969-A3AD379F6832}"/>
            </c:ext>
          </c:extLst>
        </c:ser>
        <c:ser>
          <c:idx val="2"/>
          <c:order val="2"/>
          <c:tx>
            <c:v>Herbaluxe Long and Strong 510 ml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Sheet9!$A$2:$A$25</c:f>
              <c:numCache>
                <c:formatCode>mmm\-yy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Sheet9!$D$2:$D$25</c:f>
              <c:numCache>
                <c:formatCode>General</c:formatCode>
                <c:ptCount val="24"/>
                <c:pt idx="0">
                  <c:v>2652</c:v>
                </c:pt>
                <c:pt idx="1">
                  <c:v>3144</c:v>
                </c:pt>
                <c:pt idx="2">
                  <c:v>2836</c:v>
                </c:pt>
                <c:pt idx="3">
                  <c:v>2312</c:v>
                </c:pt>
                <c:pt idx="4">
                  <c:v>4221</c:v>
                </c:pt>
                <c:pt idx="5">
                  <c:v>4744</c:v>
                </c:pt>
                <c:pt idx="6">
                  <c:v>2238</c:v>
                </c:pt>
                <c:pt idx="7">
                  <c:v>2252</c:v>
                </c:pt>
                <c:pt idx="8">
                  <c:v>4994</c:v>
                </c:pt>
                <c:pt idx="9">
                  <c:v>4891</c:v>
                </c:pt>
                <c:pt idx="10">
                  <c:v>1380</c:v>
                </c:pt>
                <c:pt idx="11">
                  <c:v>2131</c:v>
                </c:pt>
                <c:pt idx="12">
                  <c:v>1000</c:v>
                </c:pt>
                <c:pt idx="13">
                  <c:v>900</c:v>
                </c:pt>
                <c:pt idx="14">
                  <c:v>991</c:v>
                </c:pt>
                <c:pt idx="15">
                  <c:v>988</c:v>
                </c:pt>
                <c:pt idx="16">
                  <c:v>976</c:v>
                </c:pt>
                <c:pt idx="17">
                  <c:v>999</c:v>
                </c:pt>
                <c:pt idx="18">
                  <c:v>700</c:v>
                </c:pt>
                <c:pt idx="19">
                  <c:v>992</c:v>
                </c:pt>
                <c:pt idx="20">
                  <c:v>768</c:v>
                </c:pt>
                <c:pt idx="21">
                  <c:v>790</c:v>
                </c:pt>
                <c:pt idx="22">
                  <c:v>890</c:v>
                </c:pt>
                <c:pt idx="23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D5-4EA8-8969-A3AD379F6832}"/>
            </c:ext>
          </c:extLst>
        </c:ser>
        <c:ser>
          <c:idx val="3"/>
          <c:order val="3"/>
          <c:tx>
            <c:v>Pantel Anti Dandruff 450 ml</c:v>
          </c:tx>
          <c:spPr>
            <a:ln w="28575" cmpd="sng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Sheet9!$A$2:$A$25</c:f>
              <c:numCache>
                <c:formatCode>mmm\-yy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Sheet9!$E$2:$E$25</c:f>
              <c:numCache>
                <c:formatCode>General</c:formatCode>
                <c:ptCount val="24"/>
                <c:pt idx="0">
                  <c:v>17020</c:v>
                </c:pt>
                <c:pt idx="1">
                  <c:v>16650</c:v>
                </c:pt>
                <c:pt idx="2">
                  <c:v>18500</c:v>
                </c:pt>
                <c:pt idx="3">
                  <c:v>19240</c:v>
                </c:pt>
                <c:pt idx="4">
                  <c:v>19980</c:v>
                </c:pt>
                <c:pt idx="5">
                  <c:v>22940</c:v>
                </c:pt>
                <c:pt idx="6">
                  <c:v>23680</c:v>
                </c:pt>
                <c:pt idx="7">
                  <c:v>23310</c:v>
                </c:pt>
                <c:pt idx="8">
                  <c:v>21460</c:v>
                </c:pt>
                <c:pt idx="9">
                  <c:v>20720</c:v>
                </c:pt>
                <c:pt idx="10">
                  <c:v>20350</c:v>
                </c:pt>
                <c:pt idx="11">
                  <c:v>17390</c:v>
                </c:pt>
                <c:pt idx="12">
                  <c:v>16872</c:v>
                </c:pt>
                <c:pt idx="13">
                  <c:v>16502</c:v>
                </c:pt>
                <c:pt idx="14">
                  <c:v>18648</c:v>
                </c:pt>
                <c:pt idx="15">
                  <c:v>19388</c:v>
                </c:pt>
                <c:pt idx="16">
                  <c:v>20202</c:v>
                </c:pt>
                <c:pt idx="17">
                  <c:v>23162</c:v>
                </c:pt>
                <c:pt idx="18">
                  <c:v>23902</c:v>
                </c:pt>
                <c:pt idx="19">
                  <c:v>23532</c:v>
                </c:pt>
                <c:pt idx="20">
                  <c:v>21682</c:v>
                </c:pt>
                <c:pt idx="21">
                  <c:v>20868</c:v>
                </c:pt>
                <c:pt idx="22">
                  <c:v>20498</c:v>
                </c:pt>
                <c:pt idx="23">
                  <c:v>17538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D5-4EA8-8969-A3AD379F6832}"/>
            </c:ext>
          </c:extLst>
        </c:ser>
        <c:ser>
          <c:idx val="4"/>
          <c:order val="4"/>
          <c:tx>
            <c:v>Peak &amp; Shoulders Anti Dandruff 486 ml</c:v>
          </c:tx>
          <c:spPr>
            <a:ln w="28575" cmpd="sng"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Sheet9!$A$2:$A$25</c:f>
              <c:numCache>
                <c:formatCode>mmm\-yy</c:formatCode>
                <c:ptCount val="2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</c:numCache>
            </c:numRef>
          </c:cat>
          <c:val>
            <c:numRef>
              <c:f>Sheet9!$F$2:$F$25</c:f>
              <c:numCache>
                <c:formatCode>General</c:formatCode>
                <c:ptCount val="24"/>
                <c:pt idx="0">
                  <c:v>19013</c:v>
                </c:pt>
                <c:pt idx="1">
                  <c:v>17527</c:v>
                </c:pt>
                <c:pt idx="2">
                  <c:v>23332</c:v>
                </c:pt>
                <c:pt idx="3">
                  <c:v>28386</c:v>
                </c:pt>
                <c:pt idx="4">
                  <c:v>34200</c:v>
                </c:pt>
                <c:pt idx="5">
                  <c:v>30968</c:v>
                </c:pt>
                <c:pt idx="6">
                  <c:v>22314</c:v>
                </c:pt>
                <c:pt idx="7">
                  <c:v>36623</c:v>
                </c:pt>
                <c:pt idx="8">
                  <c:v>39944</c:v>
                </c:pt>
                <c:pt idx="9">
                  <c:v>35677</c:v>
                </c:pt>
                <c:pt idx="10">
                  <c:v>19009</c:v>
                </c:pt>
                <c:pt idx="11">
                  <c:v>27311</c:v>
                </c:pt>
                <c:pt idx="12">
                  <c:v>24350</c:v>
                </c:pt>
                <c:pt idx="13">
                  <c:v>27954</c:v>
                </c:pt>
                <c:pt idx="14">
                  <c:v>19175</c:v>
                </c:pt>
                <c:pt idx="15">
                  <c:v>20814</c:v>
                </c:pt>
                <c:pt idx="16">
                  <c:v>29955</c:v>
                </c:pt>
                <c:pt idx="17">
                  <c:v>43110</c:v>
                </c:pt>
                <c:pt idx="18">
                  <c:v>43026</c:v>
                </c:pt>
                <c:pt idx="19">
                  <c:v>27908</c:v>
                </c:pt>
                <c:pt idx="20">
                  <c:v>21605</c:v>
                </c:pt>
                <c:pt idx="21">
                  <c:v>31840</c:v>
                </c:pt>
                <c:pt idx="22">
                  <c:v>22315</c:v>
                </c:pt>
                <c:pt idx="23">
                  <c:v>19279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7D5-4EA8-8969-A3AD379F6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746457"/>
        <c:axId val="906236283"/>
      </c:lineChart>
      <c:dateAx>
        <c:axId val="846746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m\-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6236283"/>
        <c:crosses val="autoZero"/>
        <c:auto val="1"/>
        <c:lblOffset val="100"/>
        <c:baseTimeUnit val="months"/>
      </c:dateAx>
      <c:valAx>
        <c:axId val="906236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674645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323850</xdr:colOff>
      <xdr:row>2</xdr:row>
      <xdr:rowOff>85725</xdr:rowOff>
    </xdr:from>
    <xdr:ext cx="7429500" cy="4067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361">
  <tableColumns count="5">
    <tableColumn id="1" xr3:uid="{00000000-0010-0000-0000-000001000000}" name="Year"/>
    <tableColumn id="2" xr3:uid="{00000000-0010-0000-0000-000002000000}" name="Month"/>
    <tableColumn id="3" xr3:uid="{00000000-0010-0000-0000-000003000000}" name="Date"/>
    <tableColumn id="4" xr3:uid="{00000000-0010-0000-0000-000004000000}" name="Product Name"/>
    <tableColumn id="5" xr3:uid="{00000000-0010-0000-0000-000005000000}" name="Units"/>
  </tableColumns>
  <tableStyleInfo name="Data Sheet Imtiaz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F16">
  <tableColumns count="6">
    <tableColumn id="1" xr3:uid="{00000000-0010-0000-0100-000001000000}" name="Full Name"/>
    <tableColumn id="2" xr3:uid="{00000000-0010-0000-0100-000002000000}" name="Shampoo/Conditioner"/>
    <tableColumn id="3" xr3:uid="{00000000-0010-0000-0100-000003000000}" name="Size"/>
    <tableColumn id="4" xr3:uid="{00000000-0010-0000-0100-000004000000}" name="Price Jan 2021 to Dec 2021"/>
    <tableColumn id="5" xr3:uid="{00000000-0010-0000-0100-000005000000}" name="Price Jan 2022 to Dec 2022"/>
    <tableColumn id="6" xr3:uid="{00000000-0010-0000-0100-000006000000}" name="Company"/>
  </tableColumns>
  <tableStyleInfo name="Price Shee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H16">
  <tableColumns count="8">
    <tableColumn id="1" xr3:uid="{00000000-0010-0000-0200-000001000000}" name="Brand"/>
    <tableColumn id="2" xr3:uid="{00000000-0010-0000-0200-000002000000}" name="Size"/>
    <tableColumn id="3" xr3:uid="{00000000-0010-0000-0200-000003000000}" name="Variant"/>
    <tableColumn id="4" xr3:uid="{00000000-0010-0000-0200-000004000000}" name="Full Name"/>
    <tableColumn id="5" xr3:uid="{00000000-0010-0000-0200-000005000000}" name="Price Jan 2021 to Dec 2021"/>
    <tableColumn id="6" xr3:uid="{00000000-0010-0000-0200-000006000000}" name="Price Jan 2022 to Sept 2023"/>
    <tableColumn id="7" xr3:uid="{00000000-0010-0000-0200-000007000000}" name="Type"/>
    <tableColumn id="8" xr3:uid="{00000000-0010-0000-0200-000008000000}" name="Company"/>
  </tableColumns>
  <tableStyleInfo name="All produ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6" sqref="G6"/>
    </sheetView>
  </sheetViews>
  <sheetFormatPr defaultColWidth="14.42578125" defaultRowHeight="15" customHeight="1"/>
  <cols>
    <col min="1" max="1" width="15.85546875" customWidth="1"/>
    <col min="2" max="3" width="11.7109375" customWidth="1"/>
    <col min="4" max="4" width="44.85546875" customWidth="1"/>
    <col min="5" max="26" width="8.7109375" customWidth="1"/>
  </cols>
  <sheetData>
    <row r="1" spans="1:5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4.25" customHeight="1">
      <c r="A2" s="4">
        <v>2021</v>
      </c>
      <c r="B2" s="5" t="s">
        <v>5</v>
      </c>
      <c r="C2" s="6">
        <v>44197</v>
      </c>
      <c r="D2" s="7" t="s">
        <v>6</v>
      </c>
      <c r="E2" s="8">
        <v>13320</v>
      </c>
    </row>
    <row r="3" spans="1:5" ht="14.25" customHeight="1">
      <c r="A3" s="4">
        <v>2021</v>
      </c>
      <c r="B3" s="5" t="s">
        <v>7</v>
      </c>
      <c r="C3" s="6">
        <v>44228</v>
      </c>
      <c r="D3" s="7" t="s">
        <v>6</v>
      </c>
      <c r="E3" s="8">
        <v>12950</v>
      </c>
    </row>
    <row r="4" spans="1:5" ht="14.25" customHeight="1">
      <c r="A4" s="4">
        <v>2021</v>
      </c>
      <c r="B4" s="5" t="s">
        <v>8</v>
      </c>
      <c r="C4" s="6">
        <v>44256</v>
      </c>
      <c r="D4" s="7" t="s">
        <v>6</v>
      </c>
      <c r="E4" s="8">
        <v>14800</v>
      </c>
    </row>
    <row r="5" spans="1:5" ht="14.25" customHeight="1">
      <c r="A5" s="4">
        <v>2021</v>
      </c>
      <c r="B5" s="5" t="s">
        <v>9</v>
      </c>
      <c r="C5" s="6">
        <v>44287</v>
      </c>
      <c r="D5" s="7" t="s">
        <v>6</v>
      </c>
      <c r="E5" s="8">
        <v>15540</v>
      </c>
    </row>
    <row r="6" spans="1:5" ht="14.25" customHeight="1">
      <c r="A6" s="4">
        <v>2021</v>
      </c>
      <c r="B6" s="5" t="s">
        <v>10</v>
      </c>
      <c r="C6" s="6">
        <v>44317</v>
      </c>
      <c r="D6" s="7" t="s">
        <v>6</v>
      </c>
      <c r="E6" s="8">
        <v>16280</v>
      </c>
    </row>
    <row r="7" spans="1:5" ht="14.25" customHeight="1">
      <c r="A7" s="4">
        <v>2021</v>
      </c>
      <c r="B7" s="5" t="s">
        <v>11</v>
      </c>
      <c r="C7" s="6">
        <v>44348</v>
      </c>
      <c r="D7" s="7" t="s">
        <v>6</v>
      </c>
      <c r="E7" s="8">
        <v>19240</v>
      </c>
    </row>
    <row r="8" spans="1:5" ht="14.25" customHeight="1">
      <c r="A8" s="4">
        <v>2021</v>
      </c>
      <c r="B8" s="5" t="s">
        <v>12</v>
      </c>
      <c r="C8" s="6">
        <v>44378</v>
      </c>
      <c r="D8" s="7" t="s">
        <v>6</v>
      </c>
      <c r="E8" s="8">
        <v>19980</v>
      </c>
    </row>
    <row r="9" spans="1:5" ht="14.25" customHeight="1">
      <c r="A9" s="4">
        <v>2021</v>
      </c>
      <c r="B9" s="5" t="s">
        <v>13</v>
      </c>
      <c r="C9" s="6">
        <v>44409</v>
      </c>
      <c r="D9" s="7" t="s">
        <v>6</v>
      </c>
      <c r="E9" s="8">
        <v>19610</v>
      </c>
    </row>
    <row r="10" spans="1:5" ht="14.25" customHeight="1">
      <c r="A10" s="4">
        <v>2021</v>
      </c>
      <c r="B10" s="5" t="s">
        <v>14</v>
      </c>
      <c r="C10" s="6">
        <v>44440</v>
      </c>
      <c r="D10" s="7" t="s">
        <v>6</v>
      </c>
      <c r="E10" s="8">
        <v>17760</v>
      </c>
    </row>
    <row r="11" spans="1:5" ht="14.25" customHeight="1">
      <c r="A11" s="4">
        <v>2021</v>
      </c>
      <c r="B11" s="5" t="s">
        <v>15</v>
      </c>
      <c r="C11" s="6">
        <v>44470</v>
      </c>
      <c r="D11" s="7" t="s">
        <v>6</v>
      </c>
      <c r="E11" s="8">
        <v>17020</v>
      </c>
    </row>
    <row r="12" spans="1:5" ht="14.25" customHeight="1">
      <c r="A12" s="4">
        <v>2021</v>
      </c>
      <c r="B12" s="5" t="s">
        <v>16</v>
      </c>
      <c r="C12" s="6">
        <v>44501</v>
      </c>
      <c r="D12" s="7" t="s">
        <v>6</v>
      </c>
      <c r="E12" s="8">
        <v>16650</v>
      </c>
    </row>
    <row r="13" spans="1:5" ht="14.25" customHeight="1">
      <c r="A13" s="4">
        <v>2021</v>
      </c>
      <c r="B13" s="5" t="s">
        <v>17</v>
      </c>
      <c r="C13" s="6">
        <v>44531</v>
      </c>
      <c r="D13" s="7" t="s">
        <v>6</v>
      </c>
      <c r="E13" s="8">
        <v>13690</v>
      </c>
    </row>
    <row r="14" spans="1:5" ht="14.25" customHeight="1">
      <c r="A14" s="4">
        <v>2022</v>
      </c>
      <c r="B14" s="5" t="s">
        <v>5</v>
      </c>
      <c r="C14" s="6">
        <v>44562</v>
      </c>
      <c r="D14" s="7" t="s">
        <v>6</v>
      </c>
      <c r="E14" s="8">
        <v>13172</v>
      </c>
    </row>
    <row r="15" spans="1:5" ht="14.25" customHeight="1">
      <c r="A15" s="4">
        <v>2022</v>
      </c>
      <c r="B15" s="5" t="s">
        <v>7</v>
      </c>
      <c r="C15" s="6">
        <v>44593</v>
      </c>
      <c r="D15" s="7" t="s">
        <v>6</v>
      </c>
      <c r="E15" s="8">
        <v>12802</v>
      </c>
    </row>
    <row r="16" spans="1:5" ht="14.25" customHeight="1">
      <c r="A16" s="4">
        <v>2022</v>
      </c>
      <c r="B16" s="5" t="s">
        <v>8</v>
      </c>
      <c r="C16" s="6">
        <v>44621</v>
      </c>
      <c r="D16" s="7" t="s">
        <v>6</v>
      </c>
      <c r="E16" s="8">
        <v>14948</v>
      </c>
    </row>
    <row r="17" spans="1:5" ht="14.25" customHeight="1">
      <c r="A17" s="4">
        <v>2022</v>
      </c>
      <c r="B17" s="5" t="s">
        <v>9</v>
      </c>
      <c r="C17" s="6">
        <v>44652</v>
      </c>
      <c r="D17" s="7" t="s">
        <v>6</v>
      </c>
      <c r="E17" s="8">
        <v>15688</v>
      </c>
    </row>
    <row r="18" spans="1:5" ht="14.25" customHeight="1">
      <c r="A18" s="4">
        <v>2022</v>
      </c>
      <c r="B18" s="5" t="s">
        <v>10</v>
      </c>
      <c r="C18" s="6">
        <v>44682</v>
      </c>
      <c r="D18" s="7" t="s">
        <v>6</v>
      </c>
      <c r="E18" s="8">
        <v>16502</v>
      </c>
    </row>
    <row r="19" spans="1:5" ht="14.25" customHeight="1">
      <c r="A19" s="4">
        <v>2022</v>
      </c>
      <c r="B19" s="5" t="s">
        <v>11</v>
      </c>
      <c r="C19" s="6">
        <v>44713</v>
      </c>
      <c r="D19" s="7" t="s">
        <v>6</v>
      </c>
      <c r="E19" s="8">
        <v>19462</v>
      </c>
    </row>
    <row r="20" spans="1:5" ht="14.25" customHeight="1">
      <c r="A20" s="4">
        <v>2022</v>
      </c>
      <c r="B20" s="5" t="s">
        <v>12</v>
      </c>
      <c r="C20" s="6">
        <v>44743</v>
      </c>
      <c r="D20" s="7" t="s">
        <v>6</v>
      </c>
      <c r="E20" s="8">
        <v>20202</v>
      </c>
    </row>
    <row r="21" spans="1:5" ht="14.25" customHeight="1">
      <c r="A21" s="4">
        <v>2022</v>
      </c>
      <c r="B21" s="5" t="s">
        <v>13</v>
      </c>
      <c r="C21" s="6">
        <v>44774</v>
      </c>
      <c r="D21" s="7" t="s">
        <v>6</v>
      </c>
      <c r="E21" s="8">
        <v>19832</v>
      </c>
    </row>
    <row r="22" spans="1:5" ht="14.25" customHeight="1">
      <c r="A22" s="4">
        <v>2022</v>
      </c>
      <c r="B22" s="5" t="s">
        <v>14</v>
      </c>
      <c r="C22" s="6">
        <v>44805</v>
      </c>
      <c r="D22" s="7" t="s">
        <v>6</v>
      </c>
      <c r="E22" s="8">
        <v>17982</v>
      </c>
    </row>
    <row r="23" spans="1:5" ht="14.25" customHeight="1">
      <c r="A23" s="4">
        <v>2022</v>
      </c>
      <c r="B23" s="5" t="s">
        <v>15</v>
      </c>
      <c r="C23" s="6">
        <v>44835</v>
      </c>
      <c r="D23" s="7" t="s">
        <v>6</v>
      </c>
      <c r="E23" s="8">
        <v>17168</v>
      </c>
    </row>
    <row r="24" spans="1:5" ht="14.25" customHeight="1">
      <c r="A24" s="4">
        <v>2022</v>
      </c>
      <c r="B24" s="5" t="s">
        <v>16</v>
      </c>
      <c r="C24" s="6">
        <v>44866</v>
      </c>
      <c r="D24" s="7" t="s">
        <v>6</v>
      </c>
      <c r="E24" s="8">
        <v>16798</v>
      </c>
    </row>
    <row r="25" spans="1:5" ht="14.25" customHeight="1">
      <c r="A25" s="4">
        <v>2022</v>
      </c>
      <c r="B25" s="5" t="s">
        <v>17</v>
      </c>
      <c r="C25" s="6">
        <v>44896</v>
      </c>
      <c r="D25" s="7" t="s">
        <v>6</v>
      </c>
      <c r="E25" s="8">
        <v>13838</v>
      </c>
    </row>
    <row r="26" spans="1:5" ht="14.25" customHeight="1">
      <c r="A26" s="4">
        <v>2021</v>
      </c>
      <c r="B26" s="5" t="s">
        <v>5</v>
      </c>
      <c r="C26" s="6">
        <v>44197</v>
      </c>
      <c r="D26" s="7" t="s">
        <v>18</v>
      </c>
      <c r="E26" s="8">
        <v>17020</v>
      </c>
    </row>
    <row r="27" spans="1:5" ht="14.25" customHeight="1">
      <c r="A27" s="4">
        <v>2021</v>
      </c>
      <c r="B27" s="5" t="s">
        <v>7</v>
      </c>
      <c r="C27" s="6">
        <v>44228</v>
      </c>
      <c r="D27" s="7" t="s">
        <v>18</v>
      </c>
      <c r="E27" s="8">
        <v>16650</v>
      </c>
    </row>
    <row r="28" spans="1:5" ht="14.25" customHeight="1">
      <c r="A28" s="4">
        <v>2021</v>
      </c>
      <c r="B28" s="5" t="s">
        <v>8</v>
      </c>
      <c r="C28" s="6">
        <v>44256</v>
      </c>
      <c r="D28" s="7" t="s">
        <v>18</v>
      </c>
      <c r="E28" s="8">
        <v>18500</v>
      </c>
    </row>
    <row r="29" spans="1:5" ht="14.25" customHeight="1">
      <c r="A29" s="4">
        <v>2021</v>
      </c>
      <c r="B29" s="5" t="s">
        <v>9</v>
      </c>
      <c r="C29" s="6">
        <v>44287</v>
      </c>
      <c r="D29" s="7" t="s">
        <v>18</v>
      </c>
      <c r="E29" s="8">
        <v>19240</v>
      </c>
    </row>
    <row r="30" spans="1:5" ht="14.25" customHeight="1">
      <c r="A30" s="4">
        <v>2021</v>
      </c>
      <c r="B30" s="5" t="s">
        <v>10</v>
      </c>
      <c r="C30" s="6">
        <v>44317</v>
      </c>
      <c r="D30" s="7" t="s">
        <v>18</v>
      </c>
      <c r="E30" s="8">
        <v>19980</v>
      </c>
    </row>
    <row r="31" spans="1:5" ht="14.25" customHeight="1">
      <c r="A31" s="4">
        <v>2021</v>
      </c>
      <c r="B31" s="5" t="s">
        <v>11</v>
      </c>
      <c r="C31" s="6">
        <v>44348</v>
      </c>
      <c r="D31" s="7" t="s">
        <v>18</v>
      </c>
      <c r="E31" s="8">
        <v>22940</v>
      </c>
    </row>
    <row r="32" spans="1:5" ht="14.25" customHeight="1">
      <c r="A32" s="4">
        <v>2021</v>
      </c>
      <c r="B32" s="5" t="s">
        <v>12</v>
      </c>
      <c r="C32" s="6">
        <v>44378</v>
      </c>
      <c r="D32" s="7" t="s">
        <v>18</v>
      </c>
      <c r="E32" s="8">
        <v>23680</v>
      </c>
    </row>
    <row r="33" spans="1:5" ht="14.25" customHeight="1">
      <c r="A33" s="4">
        <v>2021</v>
      </c>
      <c r="B33" s="5" t="s">
        <v>13</v>
      </c>
      <c r="C33" s="6">
        <v>44409</v>
      </c>
      <c r="D33" s="7" t="s">
        <v>18</v>
      </c>
      <c r="E33" s="8">
        <v>23310</v>
      </c>
    </row>
    <row r="34" spans="1:5" ht="14.25" customHeight="1">
      <c r="A34" s="4">
        <v>2021</v>
      </c>
      <c r="B34" s="5" t="s">
        <v>14</v>
      </c>
      <c r="C34" s="6">
        <v>44440</v>
      </c>
      <c r="D34" s="7" t="s">
        <v>18</v>
      </c>
      <c r="E34" s="8">
        <v>21460</v>
      </c>
    </row>
    <row r="35" spans="1:5" ht="14.25" customHeight="1">
      <c r="A35" s="4">
        <v>2021</v>
      </c>
      <c r="B35" s="5" t="s">
        <v>15</v>
      </c>
      <c r="C35" s="6">
        <v>44470</v>
      </c>
      <c r="D35" s="7" t="s">
        <v>18</v>
      </c>
      <c r="E35" s="8">
        <v>20720</v>
      </c>
    </row>
    <row r="36" spans="1:5" ht="14.25" customHeight="1">
      <c r="A36" s="4">
        <v>2021</v>
      </c>
      <c r="B36" s="5" t="s">
        <v>16</v>
      </c>
      <c r="C36" s="6">
        <v>44501</v>
      </c>
      <c r="D36" s="7" t="s">
        <v>18</v>
      </c>
      <c r="E36" s="8">
        <v>20350</v>
      </c>
    </row>
    <row r="37" spans="1:5" ht="14.25" customHeight="1">
      <c r="A37" s="4">
        <v>2021</v>
      </c>
      <c r="B37" s="5" t="s">
        <v>17</v>
      </c>
      <c r="C37" s="6">
        <v>44531</v>
      </c>
      <c r="D37" s="7" t="s">
        <v>18</v>
      </c>
      <c r="E37" s="8">
        <v>17390</v>
      </c>
    </row>
    <row r="38" spans="1:5" ht="14.25" customHeight="1">
      <c r="A38" s="4">
        <v>2022</v>
      </c>
      <c r="B38" s="5" t="s">
        <v>5</v>
      </c>
      <c r="C38" s="6">
        <v>44562</v>
      </c>
      <c r="D38" s="7" t="s">
        <v>18</v>
      </c>
      <c r="E38" s="8">
        <v>16872</v>
      </c>
    </row>
    <row r="39" spans="1:5" ht="14.25" customHeight="1">
      <c r="A39" s="4">
        <v>2022</v>
      </c>
      <c r="B39" s="5" t="s">
        <v>7</v>
      </c>
      <c r="C39" s="6">
        <v>44593</v>
      </c>
      <c r="D39" s="7" t="s">
        <v>18</v>
      </c>
      <c r="E39" s="8">
        <v>16502</v>
      </c>
    </row>
    <row r="40" spans="1:5" ht="14.25" customHeight="1">
      <c r="A40" s="4">
        <v>2022</v>
      </c>
      <c r="B40" s="5" t="s">
        <v>8</v>
      </c>
      <c r="C40" s="6">
        <v>44621</v>
      </c>
      <c r="D40" s="7" t="s">
        <v>18</v>
      </c>
      <c r="E40" s="8">
        <v>18648</v>
      </c>
    </row>
    <row r="41" spans="1:5" ht="14.25" customHeight="1">
      <c r="A41" s="4">
        <v>2022</v>
      </c>
      <c r="B41" s="5" t="s">
        <v>9</v>
      </c>
      <c r="C41" s="6">
        <v>44652</v>
      </c>
      <c r="D41" s="7" t="s">
        <v>18</v>
      </c>
      <c r="E41" s="8">
        <v>19388</v>
      </c>
    </row>
    <row r="42" spans="1:5" ht="14.25" customHeight="1">
      <c r="A42" s="4">
        <v>2022</v>
      </c>
      <c r="B42" s="5" t="s">
        <v>10</v>
      </c>
      <c r="C42" s="6">
        <v>44682</v>
      </c>
      <c r="D42" s="7" t="s">
        <v>18</v>
      </c>
      <c r="E42" s="8">
        <v>20202</v>
      </c>
    </row>
    <row r="43" spans="1:5" ht="14.25" customHeight="1">
      <c r="A43" s="4">
        <v>2022</v>
      </c>
      <c r="B43" s="5" t="s">
        <v>11</v>
      </c>
      <c r="C43" s="6">
        <v>44713</v>
      </c>
      <c r="D43" s="7" t="s">
        <v>18</v>
      </c>
      <c r="E43" s="8">
        <v>23162</v>
      </c>
    </row>
    <row r="44" spans="1:5" ht="14.25" customHeight="1">
      <c r="A44" s="4">
        <v>2022</v>
      </c>
      <c r="B44" s="5" t="s">
        <v>12</v>
      </c>
      <c r="C44" s="6">
        <v>44743</v>
      </c>
      <c r="D44" s="7" t="s">
        <v>18</v>
      </c>
      <c r="E44" s="8">
        <v>23902</v>
      </c>
    </row>
    <row r="45" spans="1:5" ht="14.25" customHeight="1">
      <c r="A45" s="4">
        <v>2022</v>
      </c>
      <c r="B45" s="5" t="s">
        <v>13</v>
      </c>
      <c r="C45" s="6">
        <v>44774</v>
      </c>
      <c r="D45" s="7" t="s">
        <v>18</v>
      </c>
      <c r="E45" s="8">
        <v>23532</v>
      </c>
    </row>
    <row r="46" spans="1:5" ht="14.25" customHeight="1">
      <c r="A46" s="4">
        <v>2022</v>
      </c>
      <c r="B46" s="5" t="s">
        <v>14</v>
      </c>
      <c r="C46" s="6">
        <v>44805</v>
      </c>
      <c r="D46" s="7" t="s">
        <v>18</v>
      </c>
      <c r="E46" s="8">
        <v>21682</v>
      </c>
    </row>
    <row r="47" spans="1:5" ht="14.25" customHeight="1">
      <c r="A47" s="4">
        <v>2022</v>
      </c>
      <c r="B47" s="5" t="s">
        <v>15</v>
      </c>
      <c r="C47" s="6">
        <v>44835</v>
      </c>
      <c r="D47" s="7" t="s">
        <v>18</v>
      </c>
      <c r="E47" s="8">
        <v>20868</v>
      </c>
    </row>
    <row r="48" spans="1:5" ht="14.25" customHeight="1">
      <c r="A48" s="4">
        <v>2022</v>
      </c>
      <c r="B48" s="5" t="s">
        <v>16</v>
      </c>
      <c r="C48" s="6">
        <v>44866</v>
      </c>
      <c r="D48" s="7" t="s">
        <v>18</v>
      </c>
      <c r="E48" s="8">
        <v>20498</v>
      </c>
    </row>
    <row r="49" spans="1:5" ht="14.25" customHeight="1">
      <c r="A49" s="4">
        <v>2022</v>
      </c>
      <c r="B49" s="5" t="s">
        <v>17</v>
      </c>
      <c r="C49" s="6">
        <v>44896</v>
      </c>
      <c r="D49" s="7" t="s">
        <v>18</v>
      </c>
      <c r="E49" s="8">
        <v>17538</v>
      </c>
    </row>
    <row r="50" spans="1:5" ht="14.25" customHeight="1">
      <c r="A50" s="4">
        <v>2021</v>
      </c>
      <c r="B50" s="5" t="s">
        <v>5</v>
      </c>
      <c r="C50" s="6">
        <v>44197</v>
      </c>
      <c r="D50" s="7" t="s">
        <v>19</v>
      </c>
      <c r="E50" s="8">
        <v>19013</v>
      </c>
    </row>
    <row r="51" spans="1:5" ht="14.25" customHeight="1">
      <c r="A51" s="4">
        <v>2021</v>
      </c>
      <c r="B51" s="5" t="s">
        <v>7</v>
      </c>
      <c r="C51" s="6">
        <v>44228</v>
      </c>
      <c r="D51" s="7" t="s">
        <v>19</v>
      </c>
      <c r="E51" s="8">
        <v>17527</v>
      </c>
    </row>
    <row r="52" spans="1:5" ht="14.25" customHeight="1">
      <c r="A52" s="4">
        <v>2021</v>
      </c>
      <c r="B52" s="5" t="s">
        <v>8</v>
      </c>
      <c r="C52" s="6">
        <v>44256</v>
      </c>
      <c r="D52" s="7" t="s">
        <v>19</v>
      </c>
      <c r="E52" s="8">
        <v>23332</v>
      </c>
    </row>
    <row r="53" spans="1:5" ht="14.25" customHeight="1">
      <c r="A53" s="4">
        <v>2021</v>
      </c>
      <c r="B53" s="5" t="s">
        <v>9</v>
      </c>
      <c r="C53" s="6">
        <v>44287</v>
      </c>
      <c r="D53" s="7" t="s">
        <v>19</v>
      </c>
      <c r="E53" s="8">
        <v>28386</v>
      </c>
    </row>
    <row r="54" spans="1:5" ht="14.25" customHeight="1">
      <c r="A54" s="4">
        <v>2021</v>
      </c>
      <c r="B54" s="5" t="s">
        <v>10</v>
      </c>
      <c r="C54" s="6">
        <v>44317</v>
      </c>
      <c r="D54" s="7" t="s">
        <v>19</v>
      </c>
      <c r="E54" s="8">
        <v>34200</v>
      </c>
    </row>
    <row r="55" spans="1:5" ht="14.25" customHeight="1">
      <c r="A55" s="4">
        <v>2021</v>
      </c>
      <c r="B55" s="5" t="s">
        <v>11</v>
      </c>
      <c r="C55" s="6">
        <v>44348</v>
      </c>
      <c r="D55" s="7" t="s">
        <v>19</v>
      </c>
      <c r="E55" s="8">
        <v>30968</v>
      </c>
    </row>
    <row r="56" spans="1:5" ht="14.25" customHeight="1">
      <c r="A56" s="4">
        <v>2021</v>
      </c>
      <c r="B56" s="5" t="s">
        <v>12</v>
      </c>
      <c r="C56" s="6">
        <v>44378</v>
      </c>
      <c r="D56" s="7" t="s">
        <v>19</v>
      </c>
      <c r="E56" s="8">
        <v>22314</v>
      </c>
    </row>
    <row r="57" spans="1:5" ht="14.25" customHeight="1">
      <c r="A57" s="4">
        <v>2021</v>
      </c>
      <c r="B57" s="5" t="s">
        <v>13</v>
      </c>
      <c r="C57" s="6">
        <v>44409</v>
      </c>
      <c r="D57" s="7" t="s">
        <v>19</v>
      </c>
      <c r="E57" s="8">
        <v>36623</v>
      </c>
    </row>
    <row r="58" spans="1:5" ht="14.25" customHeight="1">
      <c r="A58" s="4">
        <v>2021</v>
      </c>
      <c r="B58" s="5" t="s">
        <v>14</v>
      </c>
      <c r="C58" s="6">
        <v>44440</v>
      </c>
      <c r="D58" s="7" t="s">
        <v>19</v>
      </c>
      <c r="E58" s="8">
        <v>39944</v>
      </c>
    </row>
    <row r="59" spans="1:5" ht="14.25" customHeight="1">
      <c r="A59" s="4">
        <v>2021</v>
      </c>
      <c r="B59" s="5" t="s">
        <v>15</v>
      </c>
      <c r="C59" s="6">
        <v>44470</v>
      </c>
      <c r="D59" s="7" t="s">
        <v>19</v>
      </c>
      <c r="E59" s="8">
        <v>35677</v>
      </c>
    </row>
    <row r="60" spans="1:5" ht="14.25" customHeight="1">
      <c r="A60" s="4">
        <v>2021</v>
      </c>
      <c r="B60" s="5" t="s">
        <v>16</v>
      </c>
      <c r="C60" s="6">
        <v>44501</v>
      </c>
      <c r="D60" s="7" t="s">
        <v>19</v>
      </c>
      <c r="E60" s="8">
        <v>19009</v>
      </c>
    </row>
    <row r="61" spans="1:5" ht="14.25" customHeight="1">
      <c r="A61" s="4">
        <v>2021</v>
      </c>
      <c r="B61" s="5" t="s">
        <v>17</v>
      </c>
      <c r="C61" s="6">
        <v>44531</v>
      </c>
      <c r="D61" s="7" t="s">
        <v>19</v>
      </c>
      <c r="E61" s="8">
        <v>27311</v>
      </c>
    </row>
    <row r="62" spans="1:5" ht="14.25" customHeight="1">
      <c r="A62" s="4">
        <v>2022</v>
      </c>
      <c r="B62" s="5" t="s">
        <v>5</v>
      </c>
      <c r="C62" s="6">
        <v>44562</v>
      </c>
      <c r="D62" s="7" t="s">
        <v>19</v>
      </c>
      <c r="E62" s="8">
        <v>24350</v>
      </c>
    </row>
    <row r="63" spans="1:5" ht="14.25" customHeight="1">
      <c r="A63" s="4">
        <v>2022</v>
      </c>
      <c r="B63" s="5" t="s">
        <v>7</v>
      </c>
      <c r="C63" s="6">
        <v>44593</v>
      </c>
      <c r="D63" s="7" t="s">
        <v>19</v>
      </c>
      <c r="E63" s="8">
        <v>27954</v>
      </c>
    </row>
    <row r="64" spans="1:5" ht="14.25" customHeight="1">
      <c r="A64" s="4">
        <v>2022</v>
      </c>
      <c r="B64" s="5" t="s">
        <v>8</v>
      </c>
      <c r="C64" s="6">
        <v>44621</v>
      </c>
      <c r="D64" s="7" t="s">
        <v>19</v>
      </c>
      <c r="E64" s="8">
        <v>19175</v>
      </c>
    </row>
    <row r="65" spans="1:5" ht="14.25" customHeight="1">
      <c r="A65" s="4">
        <v>2022</v>
      </c>
      <c r="B65" s="5" t="s">
        <v>9</v>
      </c>
      <c r="C65" s="6">
        <v>44652</v>
      </c>
      <c r="D65" s="7" t="s">
        <v>19</v>
      </c>
      <c r="E65" s="8">
        <v>20814</v>
      </c>
    </row>
    <row r="66" spans="1:5" ht="14.25" customHeight="1">
      <c r="A66" s="4">
        <v>2022</v>
      </c>
      <c r="B66" s="5" t="s">
        <v>10</v>
      </c>
      <c r="C66" s="6">
        <v>44682</v>
      </c>
      <c r="D66" s="7" t="s">
        <v>19</v>
      </c>
      <c r="E66" s="8">
        <v>29955</v>
      </c>
    </row>
    <row r="67" spans="1:5" ht="14.25" customHeight="1">
      <c r="A67" s="4">
        <v>2022</v>
      </c>
      <c r="B67" s="5" t="s">
        <v>11</v>
      </c>
      <c r="C67" s="6">
        <v>44713</v>
      </c>
      <c r="D67" s="7" t="s">
        <v>19</v>
      </c>
      <c r="E67" s="8">
        <v>43110</v>
      </c>
    </row>
    <row r="68" spans="1:5" ht="14.25" customHeight="1">
      <c r="A68" s="4">
        <v>2022</v>
      </c>
      <c r="B68" s="5" t="s">
        <v>12</v>
      </c>
      <c r="C68" s="6">
        <v>44743</v>
      </c>
      <c r="D68" s="7" t="s">
        <v>19</v>
      </c>
      <c r="E68" s="8">
        <v>43026</v>
      </c>
    </row>
    <row r="69" spans="1:5" ht="14.25" customHeight="1">
      <c r="A69" s="4">
        <v>2022</v>
      </c>
      <c r="B69" s="5" t="s">
        <v>13</v>
      </c>
      <c r="C69" s="6">
        <v>44774</v>
      </c>
      <c r="D69" s="7" t="s">
        <v>19</v>
      </c>
      <c r="E69" s="8">
        <v>27908</v>
      </c>
    </row>
    <row r="70" spans="1:5" ht="14.25" customHeight="1">
      <c r="A70" s="4">
        <v>2022</v>
      </c>
      <c r="B70" s="5" t="s">
        <v>14</v>
      </c>
      <c r="C70" s="6">
        <v>44805</v>
      </c>
      <c r="D70" s="7" t="s">
        <v>19</v>
      </c>
      <c r="E70" s="8">
        <v>21605</v>
      </c>
    </row>
    <row r="71" spans="1:5" ht="14.25" customHeight="1">
      <c r="A71" s="4">
        <v>2022</v>
      </c>
      <c r="B71" s="5" t="s">
        <v>15</v>
      </c>
      <c r="C71" s="6">
        <v>44835</v>
      </c>
      <c r="D71" s="7" t="s">
        <v>19</v>
      </c>
      <c r="E71" s="8">
        <v>31840</v>
      </c>
    </row>
    <row r="72" spans="1:5" ht="14.25" customHeight="1">
      <c r="A72" s="4">
        <v>2022</v>
      </c>
      <c r="B72" s="5" t="s">
        <v>16</v>
      </c>
      <c r="C72" s="6">
        <v>44866</v>
      </c>
      <c r="D72" s="7" t="s">
        <v>19</v>
      </c>
      <c r="E72" s="8">
        <v>22315</v>
      </c>
    </row>
    <row r="73" spans="1:5" ht="14.25" customHeight="1">
      <c r="A73" s="4">
        <v>2022</v>
      </c>
      <c r="B73" s="5" t="s">
        <v>17</v>
      </c>
      <c r="C73" s="6">
        <v>44896</v>
      </c>
      <c r="D73" s="7" t="s">
        <v>19</v>
      </c>
      <c r="E73" s="8">
        <v>19279</v>
      </c>
    </row>
    <row r="74" spans="1:5" ht="14.25" customHeight="1">
      <c r="A74" s="4">
        <v>2021</v>
      </c>
      <c r="B74" s="5" t="s">
        <v>5</v>
      </c>
      <c r="C74" s="6">
        <v>44197</v>
      </c>
      <c r="D74" s="7" t="s">
        <v>20</v>
      </c>
      <c r="E74" s="8">
        <v>11200</v>
      </c>
    </row>
    <row r="75" spans="1:5" ht="14.25" customHeight="1">
      <c r="A75" s="4">
        <v>2021</v>
      </c>
      <c r="B75" s="5" t="s">
        <v>7</v>
      </c>
      <c r="C75" s="6">
        <v>44228</v>
      </c>
      <c r="D75" s="7" t="s">
        <v>20</v>
      </c>
      <c r="E75" s="8">
        <v>4668</v>
      </c>
    </row>
    <row r="76" spans="1:5" ht="14.25" customHeight="1">
      <c r="A76" s="4">
        <v>2021</v>
      </c>
      <c r="B76" s="5" t="s">
        <v>8</v>
      </c>
      <c r="C76" s="6">
        <v>44256</v>
      </c>
      <c r="D76" s="7" t="s">
        <v>20</v>
      </c>
      <c r="E76" s="8">
        <v>3836</v>
      </c>
    </row>
    <row r="77" spans="1:5" ht="14.25" customHeight="1">
      <c r="A77" s="4">
        <v>2021</v>
      </c>
      <c r="B77" s="5" t="s">
        <v>9</v>
      </c>
      <c r="C77" s="6">
        <v>44287</v>
      </c>
      <c r="D77" s="7" t="s">
        <v>20</v>
      </c>
      <c r="E77" s="8">
        <v>5897</v>
      </c>
    </row>
    <row r="78" spans="1:5" ht="14.25" customHeight="1">
      <c r="A78" s="4">
        <v>2021</v>
      </c>
      <c r="B78" s="5" t="s">
        <v>10</v>
      </c>
      <c r="C78" s="6">
        <v>44317</v>
      </c>
      <c r="D78" s="7" t="s">
        <v>20</v>
      </c>
      <c r="E78" s="8">
        <v>11540</v>
      </c>
    </row>
    <row r="79" spans="1:5" ht="14.25" customHeight="1">
      <c r="A79" s="4">
        <v>2021</v>
      </c>
      <c r="B79" s="5" t="s">
        <v>11</v>
      </c>
      <c r="C79" s="6">
        <v>44348</v>
      </c>
      <c r="D79" s="7" t="s">
        <v>20</v>
      </c>
      <c r="E79" s="8">
        <v>7937</v>
      </c>
    </row>
    <row r="80" spans="1:5" ht="14.25" customHeight="1">
      <c r="A80" s="4">
        <v>2021</v>
      </c>
      <c r="B80" s="5" t="s">
        <v>12</v>
      </c>
      <c r="C80" s="6">
        <v>44378</v>
      </c>
      <c r="D80" s="7" t="s">
        <v>20</v>
      </c>
      <c r="E80" s="8">
        <v>4967</v>
      </c>
    </row>
    <row r="81" spans="1:5" ht="14.25" customHeight="1">
      <c r="A81" s="4">
        <v>2021</v>
      </c>
      <c r="B81" s="5" t="s">
        <v>13</v>
      </c>
      <c r="C81" s="6">
        <v>44409</v>
      </c>
      <c r="D81" s="7" t="s">
        <v>20</v>
      </c>
      <c r="E81" s="8">
        <v>4251</v>
      </c>
    </row>
    <row r="82" spans="1:5" ht="14.25" customHeight="1">
      <c r="A82" s="4">
        <v>2021</v>
      </c>
      <c r="B82" s="5" t="s">
        <v>14</v>
      </c>
      <c r="C82" s="6">
        <v>44440</v>
      </c>
      <c r="D82" s="7" t="s">
        <v>20</v>
      </c>
      <c r="E82" s="8">
        <v>15600</v>
      </c>
    </row>
    <row r="83" spans="1:5" ht="14.25" customHeight="1">
      <c r="A83" s="4">
        <v>2021</v>
      </c>
      <c r="B83" s="5" t="s">
        <v>15</v>
      </c>
      <c r="C83" s="6">
        <v>44470</v>
      </c>
      <c r="D83" s="7" t="s">
        <v>20</v>
      </c>
      <c r="E83" s="8">
        <v>2711</v>
      </c>
    </row>
    <row r="84" spans="1:5" ht="14.25" customHeight="1">
      <c r="A84" s="4">
        <v>2021</v>
      </c>
      <c r="B84" s="5" t="s">
        <v>16</v>
      </c>
      <c r="C84" s="6">
        <v>44501</v>
      </c>
      <c r="D84" s="7" t="s">
        <v>20</v>
      </c>
      <c r="E84" s="8">
        <v>1909</v>
      </c>
    </row>
    <row r="85" spans="1:5" ht="14.25" customHeight="1">
      <c r="A85" s="4">
        <v>2021</v>
      </c>
      <c r="B85" s="5" t="s">
        <v>17</v>
      </c>
      <c r="C85" s="6">
        <v>44531</v>
      </c>
      <c r="D85" s="7" t="s">
        <v>20</v>
      </c>
      <c r="E85" s="8">
        <v>4797</v>
      </c>
    </row>
    <row r="86" spans="1:5" ht="14.25" customHeight="1">
      <c r="A86" s="4">
        <v>2022</v>
      </c>
      <c r="B86" s="5" t="s">
        <v>5</v>
      </c>
      <c r="C86" s="6">
        <v>44562</v>
      </c>
      <c r="D86" s="7" t="s">
        <v>20</v>
      </c>
      <c r="E86" s="8">
        <v>4000</v>
      </c>
    </row>
    <row r="87" spans="1:5" ht="14.25" customHeight="1">
      <c r="A87" s="4">
        <v>2022</v>
      </c>
      <c r="B87" s="5" t="s">
        <v>7</v>
      </c>
      <c r="C87" s="6">
        <v>44593</v>
      </c>
      <c r="D87" s="7" t="s">
        <v>20</v>
      </c>
      <c r="E87" s="8">
        <v>4256</v>
      </c>
    </row>
    <row r="88" spans="1:5" ht="14.25" customHeight="1">
      <c r="A88" s="4">
        <v>2022</v>
      </c>
      <c r="B88" s="5" t="s">
        <v>8</v>
      </c>
      <c r="C88" s="6">
        <v>44621</v>
      </c>
      <c r="D88" s="7" t="s">
        <v>20</v>
      </c>
      <c r="E88" s="8">
        <v>3787</v>
      </c>
    </row>
    <row r="89" spans="1:5" ht="14.25" customHeight="1">
      <c r="A89" s="4">
        <v>2022</v>
      </c>
      <c r="B89" s="5" t="s">
        <v>9</v>
      </c>
      <c r="C89" s="6">
        <v>44652</v>
      </c>
      <c r="D89" s="7" t="s">
        <v>20</v>
      </c>
      <c r="E89" s="8">
        <v>5090</v>
      </c>
    </row>
    <row r="90" spans="1:5" ht="14.25" customHeight="1">
      <c r="A90" s="4">
        <v>2022</v>
      </c>
      <c r="B90" s="5" t="s">
        <v>10</v>
      </c>
      <c r="C90" s="6">
        <v>44682</v>
      </c>
      <c r="D90" s="7" t="s">
        <v>20</v>
      </c>
      <c r="E90" s="8">
        <v>5555</v>
      </c>
    </row>
    <row r="91" spans="1:5" ht="14.25" customHeight="1">
      <c r="A91" s="4">
        <v>2022</v>
      </c>
      <c r="B91" s="5" t="s">
        <v>11</v>
      </c>
      <c r="C91" s="6">
        <v>44713</v>
      </c>
      <c r="D91" s="7" t="s">
        <v>20</v>
      </c>
      <c r="E91" s="8">
        <v>5567</v>
      </c>
    </row>
    <row r="92" spans="1:5" ht="14.25" customHeight="1">
      <c r="A92" s="4">
        <v>2022</v>
      </c>
      <c r="B92" s="5" t="s">
        <v>12</v>
      </c>
      <c r="C92" s="6">
        <v>44743</v>
      </c>
      <c r="D92" s="7" t="s">
        <v>20</v>
      </c>
      <c r="E92" s="8">
        <v>8999</v>
      </c>
    </row>
    <row r="93" spans="1:5" ht="14.25" customHeight="1">
      <c r="A93" s="4">
        <v>2022</v>
      </c>
      <c r="B93" s="5" t="s">
        <v>13</v>
      </c>
      <c r="C93" s="6">
        <v>44774</v>
      </c>
      <c r="D93" s="7" t="s">
        <v>20</v>
      </c>
      <c r="E93" s="8">
        <v>6777</v>
      </c>
    </row>
    <row r="94" spans="1:5" ht="14.25" customHeight="1">
      <c r="A94" s="4">
        <v>2022</v>
      </c>
      <c r="B94" s="5" t="s">
        <v>14</v>
      </c>
      <c r="C94" s="6">
        <v>44805</v>
      </c>
      <c r="D94" s="7" t="s">
        <v>20</v>
      </c>
      <c r="E94" s="8">
        <v>4222</v>
      </c>
    </row>
    <row r="95" spans="1:5" ht="14.25" customHeight="1">
      <c r="A95" s="4">
        <v>2022</v>
      </c>
      <c r="B95" s="5" t="s">
        <v>15</v>
      </c>
      <c r="C95" s="6">
        <v>44835</v>
      </c>
      <c r="D95" s="7" t="s">
        <v>20</v>
      </c>
      <c r="E95" s="8">
        <v>4321</v>
      </c>
    </row>
    <row r="96" spans="1:5" ht="14.25" customHeight="1">
      <c r="A96" s="4">
        <v>2022</v>
      </c>
      <c r="B96" s="5" t="s">
        <v>16</v>
      </c>
      <c r="C96" s="6">
        <v>44866</v>
      </c>
      <c r="D96" s="7" t="s">
        <v>20</v>
      </c>
      <c r="E96" s="8">
        <v>4314</v>
      </c>
    </row>
    <row r="97" spans="1:5" ht="14.25" customHeight="1">
      <c r="A97" s="4">
        <v>2022</v>
      </c>
      <c r="B97" s="5" t="s">
        <v>17</v>
      </c>
      <c r="C97" s="6">
        <v>44896</v>
      </c>
      <c r="D97" s="7" t="s">
        <v>20</v>
      </c>
      <c r="E97" s="8">
        <v>2890</v>
      </c>
    </row>
    <row r="98" spans="1:5" ht="14.25" customHeight="1">
      <c r="A98" s="4">
        <v>2021</v>
      </c>
      <c r="B98" s="5" t="s">
        <v>5</v>
      </c>
      <c r="C98" s="6">
        <v>44197</v>
      </c>
      <c r="D98" s="7" t="s">
        <v>21</v>
      </c>
      <c r="E98" s="8">
        <v>2652</v>
      </c>
    </row>
    <row r="99" spans="1:5" ht="14.25" customHeight="1">
      <c r="A99" s="4">
        <v>2021</v>
      </c>
      <c r="B99" s="5" t="s">
        <v>7</v>
      </c>
      <c r="C99" s="6">
        <v>44228</v>
      </c>
      <c r="D99" s="7" t="s">
        <v>21</v>
      </c>
      <c r="E99" s="8">
        <v>3144</v>
      </c>
    </row>
    <row r="100" spans="1:5" ht="14.25" customHeight="1">
      <c r="A100" s="4">
        <v>2021</v>
      </c>
      <c r="B100" s="5" t="s">
        <v>8</v>
      </c>
      <c r="C100" s="6">
        <v>44256</v>
      </c>
      <c r="D100" s="7" t="s">
        <v>21</v>
      </c>
      <c r="E100" s="8">
        <v>2836</v>
      </c>
    </row>
    <row r="101" spans="1:5" ht="14.25" customHeight="1">
      <c r="A101" s="4">
        <v>2021</v>
      </c>
      <c r="B101" s="5" t="s">
        <v>9</v>
      </c>
      <c r="C101" s="6">
        <v>44287</v>
      </c>
      <c r="D101" s="7" t="s">
        <v>21</v>
      </c>
      <c r="E101" s="8">
        <v>2312</v>
      </c>
    </row>
    <row r="102" spans="1:5" ht="14.25" customHeight="1">
      <c r="A102" s="4">
        <v>2021</v>
      </c>
      <c r="B102" s="5" t="s">
        <v>10</v>
      </c>
      <c r="C102" s="6">
        <v>44317</v>
      </c>
      <c r="D102" s="7" t="s">
        <v>21</v>
      </c>
      <c r="E102" s="8">
        <v>4221</v>
      </c>
    </row>
    <row r="103" spans="1:5" ht="14.25" customHeight="1">
      <c r="A103" s="4">
        <v>2021</v>
      </c>
      <c r="B103" s="5" t="s">
        <v>11</v>
      </c>
      <c r="C103" s="6">
        <v>44348</v>
      </c>
      <c r="D103" s="7" t="s">
        <v>21</v>
      </c>
      <c r="E103" s="8">
        <v>4744</v>
      </c>
    </row>
    <row r="104" spans="1:5" ht="14.25" customHeight="1">
      <c r="A104" s="4">
        <v>2021</v>
      </c>
      <c r="B104" s="5" t="s">
        <v>12</v>
      </c>
      <c r="C104" s="6">
        <v>44378</v>
      </c>
      <c r="D104" s="7" t="s">
        <v>21</v>
      </c>
      <c r="E104" s="8">
        <v>2238</v>
      </c>
    </row>
    <row r="105" spans="1:5" ht="14.25" customHeight="1">
      <c r="A105" s="4">
        <v>2021</v>
      </c>
      <c r="B105" s="5" t="s">
        <v>13</v>
      </c>
      <c r="C105" s="6">
        <v>44409</v>
      </c>
      <c r="D105" s="7" t="s">
        <v>21</v>
      </c>
      <c r="E105" s="8">
        <v>2252</v>
      </c>
    </row>
    <row r="106" spans="1:5" ht="14.25" customHeight="1">
      <c r="A106" s="4">
        <v>2021</v>
      </c>
      <c r="B106" s="5" t="s">
        <v>14</v>
      </c>
      <c r="C106" s="6">
        <v>44440</v>
      </c>
      <c r="D106" s="7" t="s">
        <v>21</v>
      </c>
      <c r="E106" s="8">
        <v>4994</v>
      </c>
    </row>
    <row r="107" spans="1:5" ht="14.25" customHeight="1">
      <c r="A107" s="4">
        <v>2021</v>
      </c>
      <c r="B107" s="5" t="s">
        <v>15</v>
      </c>
      <c r="C107" s="6">
        <v>44470</v>
      </c>
      <c r="D107" s="7" t="s">
        <v>21</v>
      </c>
      <c r="E107" s="8">
        <v>4891</v>
      </c>
    </row>
    <row r="108" spans="1:5" ht="14.25" customHeight="1">
      <c r="A108" s="4">
        <v>2021</v>
      </c>
      <c r="B108" s="5" t="s">
        <v>16</v>
      </c>
      <c r="C108" s="6">
        <v>44501</v>
      </c>
      <c r="D108" s="7" t="s">
        <v>21</v>
      </c>
      <c r="E108" s="8">
        <v>1380</v>
      </c>
    </row>
    <row r="109" spans="1:5" ht="14.25" customHeight="1">
      <c r="A109" s="4">
        <v>2021</v>
      </c>
      <c r="B109" s="5" t="s">
        <v>17</v>
      </c>
      <c r="C109" s="6">
        <v>44531</v>
      </c>
      <c r="D109" s="7" t="s">
        <v>21</v>
      </c>
      <c r="E109" s="8">
        <v>2131</v>
      </c>
    </row>
    <row r="110" spans="1:5" ht="14.25" customHeight="1">
      <c r="A110" s="4">
        <v>2022</v>
      </c>
      <c r="B110" s="5" t="s">
        <v>5</v>
      </c>
      <c r="C110" s="6">
        <v>44562</v>
      </c>
      <c r="D110" s="7" t="s">
        <v>21</v>
      </c>
      <c r="E110" s="8">
        <v>1000</v>
      </c>
    </row>
    <row r="111" spans="1:5" ht="14.25" customHeight="1">
      <c r="A111" s="4">
        <v>2022</v>
      </c>
      <c r="B111" s="5" t="s">
        <v>7</v>
      </c>
      <c r="C111" s="6">
        <v>44593</v>
      </c>
      <c r="D111" s="7" t="s">
        <v>21</v>
      </c>
      <c r="E111" s="8">
        <v>900</v>
      </c>
    </row>
    <row r="112" spans="1:5" ht="14.25" customHeight="1">
      <c r="A112" s="4">
        <v>2022</v>
      </c>
      <c r="B112" s="5" t="s">
        <v>8</v>
      </c>
      <c r="C112" s="6">
        <v>44621</v>
      </c>
      <c r="D112" s="7" t="s">
        <v>21</v>
      </c>
      <c r="E112" s="8">
        <v>991</v>
      </c>
    </row>
    <row r="113" spans="1:5" ht="14.25" customHeight="1">
      <c r="A113" s="4">
        <v>2022</v>
      </c>
      <c r="B113" s="5" t="s">
        <v>9</v>
      </c>
      <c r="C113" s="6">
        <v>44652</v>
      </c>
      <c r="D113" s="7" t="s">
        <v>21</v>
      </c>
      <c r="E113" s="8">
        <v>988</v>
      </c>
    </row>
    <row r="114" spans="1:5" ht="14.25" customHeight="1">
      <c r="A114" s="4">
        <v>2022</v>
      </c>
      <c r="B114" s="5" t="s">
        <v>10</v>
      </c>
      <c r="C114" s="6">
        <v>44682</v>
      </c>
      <c r="D114" s="7" t="s">
        <v>21</v>
      </c>
      <c r="E114" s="8">
        <v>976</v>
      </c>
    </row>
    <row r="115" spans="1:5" ht="14.25" customHeight="1">
      <c r="A115" s="4">
        <v>2022</v>
      </c>
      <c r="B115" s="5" t="s">
        <v>11</v>
      </c>
      <c r="C115" s="6">
        <v>44713</v>
      </c>
      <c r="D115" s="7" t="s">
        <v>21</v>
      </c>
      <c r="E115" s="8">
        <v>999</v>
      </c>
    </row>
    <row r="116" spans="1:5" ht="14.25" customHeight="1">
      <c r="A116" s="4">
        <v>2022</v>
      </c>
      <c r="B116" s="5" t="s">
        <v>12</v>
      </c>
      <c r="C116" s="6">
        <v>44743</v>
      </c>
      <c r="D116" s="7" t="s">
        <v>21</v>
      </c>
      <c r="E116" s="8">
        <v>700</v>
      </c>
    </row>
    <row r="117" spans="1:5" ht="14.25" customHeight="1">
      <c r="A117" s="4">
        <v>2022</v>
      </c>
      <c r="B117" s="5" t="s">
        <v>13</v>
      </c>
      <c r="C117" s="6">
        <v>44774</v>
      </c>
      <c r="D117" s="7" t="s">
        <v>21</v>
      </c>
      <c r="E117" s="8">
        <v>992</v>
      </c>
    </row>
    <row r="118" spans="1:5" ht="14.25" customHeight="1">
      <c r="A118" s="4">
        <v>2022</v>
      </c>
      <c r="B118" s="5" t="s">
        <v>14</v>
      </c>
      <c r="C118" s="6">
        <v>44805</v>
      </c>
      <c r="D118" s="7" t="s">
        <v>21</v>
      </c>
      <c r="E118" s="8">
        <v>768</v>
      </c>
    </row>
    <row r="119" spans="1:5" ht="14.25" customHeight="1">
      <c r="A119" s="4">
        <v>2022</v>
      </c>
      <c r="B119" s="5" t="s">
        <v>15</v>
      </c>
      <c r="C119" s="6">
        <v>44835</v>
      </c>
      <c r="D119" s="7" t="s">
        <v>21</v>
      </c>
      <c r="E119" s="8">
        <v>790</v>
      </c>
    </row>
    <row r="120" spans="1:5" ht="14.25" customHeight="1">
      <c r="A120" s="4">
        <v>2022</v>
      </c>
      <c r="B120" s="5" t="s">
        <v>16</v>
      </c>
      <c r="C120" s="6">
        <v>44866</v>
      </c>
      <c r="D120" s="7" t="s">
        <v>21</v>
      </c>
      <c r="E120" s="8">
        <v>890</v>
      </c>
    </row>
    <row r="121" spans="1:5" ht="14.25" customHeight="1">
      <c r="A121" s="4">
        <v>2022</v>
      </c>
      <c r="B121" s="5" t="s">
        <v>17</v>
      </c>
      <c r="C121" s="6">
        <v>44896</v>
      </c>
      <c r="D121" s="7" t="s">
        <v>21</v>
      </c>
      <c r="E121" s="8">
        <v>690</v>
      </c>
    </row>
    <row r="122" spans="1:5" ht="14.25" customHeight="1">
      <c r="A122" s="4">
        <v>2021</v>
      </c>
      <c r="B122" s="5" t="s">
        <v>5</v>
      </c>
      <c r="C122" s="6">
        <v>44197</v>
      </c>
      <c r="D122" s="7" t="s">
        <v>22</v>
      </c>
      <c r="E122" s="8">
        <v>6660</v>
      </c>
    </row>
    <row r="123" spans="1:5" ht="14.25" customHeight="1">
      <c r="A123" s="4">
        <v>2021</v>
      </c>
      <c r="B123" s="5" t="s">
        <v>7</v>
      </c>
      <c r="C123" s="6">
        <v>44228</v>
      </c>
      <c r="D123" s="7" t="s">
        <v>22</v>
      </c>
      <c r="E123" s="8">
        <v>6475</v>
      </c>
    </row>
    <row r="124" spans="1:5" ht="14.25" customHeight="1">
      <c r="A124" s="4">
        <v>2021</v>
      </c>
      <c r="B124" s="5" t="s">
        <v>8</v>
      </c>
      <c r="C124" s="6">
        <v>44256</v>
      </c>
      <c r="D124" s="7" t="s">
        <v>22</v>
      </c>
      <c r="E124" s="8">
        <v>7400</v>
      </c>
    </row>
    <row r="125" spans="1:5" ht="14.25" customHeight="1">
      <c r="A125" s="4">
        <v>2021</v>
      </c>
      <c r="B125" s="5" t="s">
        <v>9</v>
      </c>
      <c r="C125" s="6">
        <v>44287</v>
      </c>
      <c r="D125" s="7" t="s">
        <v>22</v>
      </c>
      <c r="E125" s="8">
        <v>7770</v>
      </c>
    </row>
    <row r="126" spans="1:5" ht="14.25" customHeight="1">
      <c r="A126" s="4">
        <v>2021</v>
      </c>
      <c r="B126" s="5" t="s">
        <v>10</v>
      </c>
      <c r="C126" s="6">
        <v>44317</v>
      </c>
      <c r="D126" s="7" t="s">
        <v>22</v>
      </c>
      <c r="E126" s="8">
        <v>8140</v>
      </c>
    </row>
    <row r="127" spans="1:5" ht="14.25" customHeight="1">
      <c r="A127" s="4">
        <v>2021</v>
      </c>
      <c r="B127" s="5" t="s">
        <v>11</v>
      </c>
      <c r="C127" s="6">
        <v>44348</v>
      </c>
      <c r="D127" s="7" t="s">
        <v>22</v>
      </c>
      <c r="E127" s="8">
        <v>9620</v>
      </c>
    </row>
    <row r="128" spans="1:5" ht="14.25" customHeight="1">
      <c r="A128" s="4">
        <v>2021</v>
      </c>
      <c r="B128" s="5" t="s">
        <v>12</v>
      </c>
      <c r="C128" s="6">
        <v>44378</v>
      </c>
      <c r="D128" s="7" t="s">
        <v>22</v>
      </c>
      <c r="E128" s="8">
        <v>9990</v>
      </c>
    </row>
    <row r="129" spans="1:5" ht="14.25" customHeight="1">
      <c r="A129" s="4">
        <v>2021</v>
      </c>
      <c r="B129" s="5" t="s">
        <v>13</v>
      </c>
      <c r="C129" s="6">
        <v>44409</v>
      </c>
      <c r="D129" s="7" t="s">
        <v>22</v>
      </c>
      <c r="E129" s="8">
        <v>9805</v>
      </c>
    </row>
    <row r="130" spans="1:5" ht="14.25" customHeight="1">
      <c r="A130" s="4">
        <v>2021</v>
      </c>
      <c r="B130" s="5" t="s">
        <v>14</v>
      </c>
      <c r="C130" s="6">
        <v>44440</v>
      </c>
      <c r="D130" s="7" t="s">
        <v>22</v>
      </c>
      <c r="E130" s="8">
        <v>8880</v>
      </c>
    </row>
    <row r="131" spans="1:5" ht="14.25" customHeight="1">
      <c r="A131" s="4">
        <v>2021</v>
      </c>
      <c r="B131" s="5" t="s">
        <v>15</v>
      </c>
      <c r="C131" s="6">
        <v>44470</v>
      </c>
      <c r="D131" s="7" t="s">
        <v>22</v>
      </c>
      <c r="E131" s="8">
        <v>8510</v>
      </c>
    </row>
    <row r="132" spans="1:5" ht="14.25" customHeight="1">
      <c r="A132" s="4">
        <v>2021</v>
      </c>
      <c r="B132" s="5" t="s">
        <v>16</v>
      </c>
      <c r="C132" s="6">
        <v>44501</v>
      </c>
      <c r="D132" s="7" t="s">
        <v>22</v>
      </c>
      <c r="E132" s="8">
        <v>8325</v>
      </c>
    </row>
    <row r="133" spans="1:5" ht="14.25" customHeight="1">
      <c r="A133" s="4">
        <v>2021</v>
      </c>
      <c r="B133" s="5" t="s">
        <v>17</v>
      </c>
      <c r="C133" s="6">
        <v>44531</v>
      </c>
      <c r="D133" s="7" t="s">
        <v>22</v>
      </c>
      <c r="E133" s="8">
        <v>6845</v>
      </c>
    </row>
    <row r="134" spans="1:5" ht="14.25" customHeight="1">
      <c r="A134" s="4">
        <v>2022</v>
      </c>
      <c r="B134" s="5" t="s">
        <v>5</v>
      </c>
      <c r="C134" s="6">
        <v>44562</v>
      </c>
      <c r="D134" s="7" t="s">
        <v>22</v>
      </c>
      <c r="E134" s="8">
        <v>6586</v>
      </c>
    </row>
    <row r="135" spans="1:5" ht="14.25" customHeight="1">
      <c r="A135" s="4">
        <v>2022</v>
      </c>
      <c r="B135" s="5" t="s">
        <v>7</v>
      </c>
      <c r="C135" s="6">
        <v>44593</v>
      </c>
      <c r="D135" s="7" t="s">
        <v>22</v>
      </c>
      <c r="E135" s="8">
        <v>6401</v>
      </c>
    </row>
    <row r="136" spans="1:5" ht="14.25" customHeight="1">
      <c r="A136" s="4">
        <v>2022</v>
      </c>
      <c r="B136" s="5" t="s">
        <v>8</v>
      </c>
      <c r="C136" s="6">
        <v>44621</v>
      </c>
      <c r="D136" s="7" t="s">
        <v>22</v>
      </c>
      <c r="E136" s="8">
        <v>7474</v>
      </c>
    </row>
    <row r="137" spans="1:5" ht="14.25" customHeight="1">
      <c r="A137" s="4">
        <v>2022</v>
      </c>
      <c r="B137" s="5" t="s">
        <v>9</v>
      </c>
      <c r="C137" s="6">
        <v>44652</v>
      </c>
      <c r="D137" s="7" t="s">
        <v>22</v>
      </c>
      <c r="E137" s="8">
        <v>7844</v>
      </c>
    </row>
    <row r="138" spans="1:5" ht="14.25" customHeight="1">
      <c r="A138" s="4">
        <v>2022</v>
      </c>
      <c r="B138" s="5" t="s">
        <v>10</v>
      </c>
      <c r="C138" s="6">
        <v>44682</v>
      </c>
      <c r="D138" s="7" t="s">
        <v>22</v>
      </c>
      <c r="E138" s="8">
        <v>8251</v>
      </c>
    </row>
    <row r="139" spans="1:5" ht="14.25" customHeight="1">
      <c r="A139" s="4">
        <v>2022</v>
      </c>
      <c r="B139" s="5" t="s">
        <v>11</v>
      </c>
      <c r="C139" s="6">
        <v>44713</v>
      </c>
      <c r="D139" s="7" t="s">
        <v>22</v>
      </c>
      <c r="E139" s="8">
        <v>9731</v>
      </c>
    </row>
    <row r="140" spans="1:5" ht="14.25" customHeight="1">
      <c r="A140" s="4">
        <v>2022</v>
      </c>
      <c r="B140" s="5" t="s">
        <v>12</v>
      </c>
      <c r="C140" s="6">
        <v>44743</v>
      </c>
      <c r="D140" s="7" t="s">
        <v>22</v>
      </c>
      <c r="E140" s="8">
        <v>10101</v>
      </c>
    </row>
    <row r="141" spans="1:5" ht="14.25" customHeight="1">
      <c r="A141" s="4">
        <v>2022</v>
      </c>
      <c r="B141" s="5" t="s">
        <v>13</v>
      </c>
      <c r="C141" s="6">
        <v>44774</v>
      </c>
      <c r="D141" s="7" t="s">
        <v>22</v>
      </c>
      <c r="E141" s="8">
        <v>9916</v>
      </c>
    </row>
    <row r="142" spans="1:5" ht="14.25" customHeight="1">
      <c r="A142" s="4">
        <v>2022</v>
      </c>
      <c r="B142" s="5" t="s">
        <v>14</v>
      </c>
      <c r="C142" s="6">
        <v>44805</v>
      </c>
      <c r="D142" s="7" t="s">
        <v>22</v>
      </c>
      <c r="E142" s="8">
        <v>8991</v>
      </c>
    </row>
    <row r="143" spans="1:5" ht="14.25" customHeight="1">
      <c r="A143" s="4">
        <v>2022</v>
      </c>
      <c r="B143" s="5" t="s">
        <v>15</v>
      </c>
      <c r="C143" s="6">
        <v>44835</v>
      </c>
      <c r="D143" s="7" t="s">
        <v>22</v>
      </c>
      <c r="E143" s="8">
        <v>8584</v>
      </c>
    </row>
    <row r="144" spans="1:5" ht="14.25" customHeight="1">
      <c r="A144" s="4">
        <v>2022</v>
      </c>
      <c r="B144" s="5" t="s">
        <v>16</v>
      </c>
      <c r="C144" s="6">
        <v>44866</v>
      </c>
      <c r="D144" s="7" t="s">
        <v>22</v>
      </c>
      <c r="E144" s="8">
        <v>8399</v>
      </c>
    </row>
    <row r="145" spans="1:5" ht="14.25" customHeight="1">
      <c r="A145" s="4">
        <v>2022</v>
      </c>
      <c r="B145" s="5" t="s">
        <v>17</v>
      </c>
      <c r="C145" s="6">
        <v>44896</v>
      </c>
      <c r="D145" s="7" t="s">
        <v>22</v>
      </c>
      <c r="E145" s="8">
        <v>6919</v>
      </c>
    </row>
    <row r="146" spans="1:5" ht="14.25" customHeight="1">
      <c r="A146" s="4">
        <v>2021</v>
      </c>
      <c r="B146" s="5" t="s">
        <v>5</v>
      </c>
      <c r="C146" s="6">
        <v>44197</v>
      </c>
      <c r="D146" s="7" t="s">
        <v>23</v>
      </c>
      <c r="E146" s="8">
        <v>8510</v>
      </c>
    </row>
    <row r="147" spans="1:5" ht="14.25" customHeight="1">
      <c r="A147" s="4">
        <v>2021</v>
      </c>
      <c r="B147" s="5" t="s">
        <v>7</v>
      </c>
      <c r="C147" s="6">
        <v>44228</v>
      </c>
      <c r="D147" s="7" t="s">
        <v>23</v>
      </c>
      <c r="E147" s="8">
        <v>8325</v>
      </c>
    </row>
    <row r="148" spans="1:5" ht="14.25" customHeight="1">
      <c r="A148" s="4">
        <v>2021</v>
      </c>
      <c r="B148" s="5" t="s">
        <v>8</v>
      </c>
      <c r="C148" s="6">
        <v>44256</v>
      </c>
      <c r="D148" s="7" t="s">
        <v>23</v>
      </c>
      <c r="E148" s="8">
        <v>9250</v>
      </c>
    </row>
    <row r="149" spans="1:5" ht="14.25" customHeight="1">
      <c r="A149" s="4">
        <v>2021</v>
      </c>
      <c r="B149" s="5" t="s">
        <v>9</v>
      </c>
      <c r="C149" s="6">
        <v>44287</v>
      </c>
      <c r="D149" s="7" t="s">
        <v>23</v>
      </c>
      <c r="E149" s="8">
        <v>9620</v>
      </c>
    </row>
    <row r="150" spans="1:5" ht="14.25" customHeight="1">
      <c r="A150" s="4">
        <v>2021</v>
      </c>
      <c r="B150" s="5" t="s">
        <v>10</v>
      </c>
      <c r="C150" s="6">
        <v>44317</v>
      </c>
      <c r="D150" s="7" t="s">
        <v>23</v>
      </c>
      <c r="E150" s="8">
        <v>9990</v>
      </c>
    </row>
    <row r="151" spans="1:5" ht="14.25" customHeight="1">
      <c r="A151" s="4">
        <v>2021</v>
      </c>
      <c r="B151" s="5" t="s">
        <v>11</v>
      </c>
      <c r="C151" s="6">
        <v>44348</v>
      </c>
      <c r="D151" s="7" t="s">
        <v>23</v>
      </c>
      <c r="E151" s="8">
        <v>11470</v>
      </c>
    </row>
    <row r="152" spans="1:5" ht="14.25" customHeight="1">
      <c r="A152" s="4">
        <v>2021</v>
      </c>
      <c r="B152" s="5" t="s">
        <v>12</v>
      </c>
      <c r="C152" s="6">
        <v>44378</v>
      </c>
      <c r="D152" s="7" t="s">
        <v>23</v>
      </c>
      <c r="E152" s="8">
        <v>11840</v>
      </c>
    </row>
    <row r="153" spans="1:5" ht="14.25" customHeight="1">
      <c r="A153" s="4">
        <v>2021</v>
      </c>
      <c r="B153" s="5" t="s">
        <v>13</v>
      </c>
      <c r="C153" s="6">
        <v>44409</v>
      </c>
      <c r="D153" s="7" t="s">
        <v>23</v>
      </c>
      <c r="E153" s="8">
        <v>11655</v>
      </c>
    </row>
    <row r="154" spans="1:5" ht="14.25" customHeight="1">
      <c r="A154" s="4">
        <v>2021</v>
      </c>
      <c r="B154" s="5" t="s">
        <v>14</v>
      </c>
      <c r="C154" s="6">
        <v>44440</v>
      </c>
      <c r="D154" s="7" t="s">
        <v>23</v>
      </c>
      <c r="E154" s="8">
        <v>10730</v>
      </c>
    </row>
    <row r="155" spans="1:5" ht="14.25" customHeight="1">
      <c r="A155" s="4">
        <v>2021</v>
      </c>
      <c r="B155" s="5" t="s">
        <v>15</v>
      </c>
      <c r="C155" s="6">
        <v>44470</v>
      </c>
      <c r="D155" s="7" t="s">
        <v>23</v>
      </c>
      <c r="E155" s="8">
        <v>10360</v>
      </c>
    </row>
    <row r="156" spans="1:5" ht="14.25" customHeight="1">
      <c r="A156" s="4">
        <v>2021</v>
      </c>
      <c r="B156" s="5" t="s">
        <v>16</v>
      </c>
      <c r="C156" s="6">
        <v>44501</v>
      </c>
      <c r="D156" s="7" t="s">
        <v>23</v>
      </c>
      <c r="E156" s="8">
        <v>10175</v>
      </c>
    </row>
    <row r="157" spans="1:5" ht="14.25" customHeight="1">
      <c r="A157" s="4">
        <v>2021</v>
      </c>
      <c r="B157" s="5" t="s">
        <v>17</v>
      </c>
      <c r="C157" s="6">
        <v>44531</v>
      </c>
      <c r="D157" s="7" t="s">
        <v>23</v>
      </c>
      <c r="E157" s="8">
        <v>8695</v>
      </c>
    </row>
    <row r="158" spans="1:5" ht="14.25" customHeight="1">
      <c r="A158" s="4">
        <v>2022</v>
      </c>
      <c r="B158" s="5" t="s">
        <v>5</v>
      </c>
      <c r="C158" s="6">
        <v>44562</v>
      </c>
      <c r="D158" s="7" t="s">
        <v>23</v>
      </c>
      <c r="E158" s="8">
        <v>8436</v>
      </c>
    </row>
    <row r="159" spans="1:5" ht="14.25" customHeight="1">
      <c r="A159" s="4">
        <v>2022</v>
      </c>
      <c r="B159" s="5" t="s">
        <v>7</v>
      </c>
      <c r="C159" s="6">
        <v>44593</v>
      </c>
      <c r="D159" s="7" t="s">
        <v>23</v>
      </c>
      <c r="E159" s="8">
        <v>8251</v>
      </c>
    </row>
    <row r="160" spans="1:5" ht="14.25" customHeight="1">
      <c r="A160" s="4">
        <v>2022</v>
      </c>
      <c r="B160" s="5" t="s">
        <v>8</v>
      </c>
      <c r="C160" s="6">
        <v>44621</v>
      </c>
      <c r="D160" s="7" t="s">
        <v>23</v>
      </c>
      <c r="E160" s="8">
        <v>9324</v>
      </c>
    </row>
    <row r="161" spans="1:5" ht="14.25" customHeight="1">
      <c r="A161" s="4">
        <v>2022</v>
      </c>
      <c r="B161" s="5" t="s">
        <v>9</v>
      </c>
      <c r="C161" s="6">
        <v>44652</v>
      </c>
      <c r="D161" s="7" t="s">
        <v>23</v>
      </c>
      <c r="E161" s="8">
        <v>9694</v>
      </c>
    </row>
    <row r="162" spans="1:5" ht="14.25" customHeight="1">
      <c r="A162" s="4">
        <v>2022</v>
      </c>
      <c r="B162" s="5" t="s">
        <v>10</v>
      </c>
      <c r="C162" s="6">
        <v>44682</v>
      </c>
      <c r="D162" s="7" t="s">
        <v>23</v>
      </c>
      <c r="E162" s="8">
        <v>10101</v>
      </c>
    </row>
    <row r="163" spans="1:5" ht="14.25" customHeight="1">
      <c r="A163" s="4">
        <v>2022</v>
      </c>
      <c r="B163" s="5" t="s">
        <v>11</v>
      </c>
      <c r="C163" s="6">
        <v>44713</v>
      </c>
      <c r="D163" s="7" t="s">
        <v>23</v>
      </c>
      <c r="E163" s="8">
        <v>11581</v>
      </c>
    </row>
    <row r="164" spans="1:5" ht="14.25" customHeight="1">
      <c r="A164" s="4">
        <v>2022</v>
      </c>
      <c r="B164" s="5" t="s">
        <v>12</v>
      </c>
      <c r="C164" s="6">
        <v>44743</v>
      </c>
      <c r="D164" s="7" t="s">
        <v>23</v>
      </c>
      <c r="E164" s="8">
        <v>11951</v>
      </c>
    </row>
    <row r="165" spans="1:5" ht="14.25" customHeight="1">
      <c r="A165" s="4">
        <v>2022</v>
      </c>
      <c r="B165" s="5" t="s">
        <v>13</v>
      </c>
      <c r="C165" s="6">
        <v>44774</v>
      </c>
      <c r="D165" s="7" t="s">
        <v>23</v>
      </c>
      <c r="E165" s="8">
        <v>11766</v>
      </c>
    </row>
    <row r="166" spans="1:5" ht="14.25" customHeight="1">
      <c r="A166" s="4">
        <v>2022</v>
      </c>
      <c r="B166" s="5" t="s">
        <v>14</v>
      </c>
      <c r="C166" s="6">
        <v>44805</v>
      </c>
      <c r="D166" s="7" t="s">
        <v>23</v>
      </c>
      <c r="E166" s="8">
        <v>10841</v>
      </c>
    </row>
    <row r="167" spans="1:5" ht="14.25" customHeight="1">
      <c r="A167" s="4">
        <v>2022</v>
      </c>
      <c r="B167" s="5" t="s">
        <v>15</v>
      </c>
      <c r="C167" s="6">
        <v>44835</v>
      </c>
      <c r="D167" s="7" t="s">
        <v>23</v>
      </c>
      <c r="E167" s="8">
        <v>10434</v>
      </c>
    </row>
    <row r="168" spans="1:5" ht="14.25" customHeight="1">
      <c r="A168" s="4">
        <v>2022</v>
      </c>
      <c r="B168" s="5" t="s">
        <v>16</v>
      </c>
      <c r="C168" s="6">
        <v>44866</v>
      </c>
      <c r="D168" s="7" t="s">
        <v>23</v>
      </c>
      <c r="E168" s="8">
        <v>10249</v>
      </c>
    </row>
    <row r="169" spans="1:5" ht="14.25" customHeight="1">
      <c r="A169" s="4">
        <v>2022</v>
      </c>
      <c r="B169" s="5" t="s">
        <v>17</v>
      </c>
      <c r="C169" s="6">
        <v>44896</v>
      </c>
      <c r="D169" s="7" t="s">
        <v>23</v>
      </c>
      <c r="E169" s="8">
        <v>8769</v>
      </c>
    </row>
    <row r="170" spans="1:5" ht="14.25" customHeight="1">
      <c r="A170" s="4">
        <v>2021</v>
      </c>
      <c r="B170" s="5" t="s">
        <v>5</v>
      </c>
      <c r="C170" s="6">
        <v>44197</v>
      </c>
      <c r="D170" s="7" t="s">
        <v>24</v>
      </c>
      <c r="E170" s="8">
        <v>22816</v>
      </c>
    </row>
    <row r="171" spans="1:5" ht="14.25" customHeight="1">
      <c r="A171" s="4">
        <v>2021</v>
      </c>
      <c r="B171" s="5" t="s">
        <v>7</v>
      </c>
      <c r="C171" s="6">
        <v>44228</v>
      </c>
      <c r="D171" s="7" t="s">
        <v>24</v>
      </c>
      <c r="E171" s="8">
        <v>21032</v>
      </c>
    </row>
    <row r="172" spans="1:5" ht="14.25" customHeight="1">
      <c r="A172" s="4">
        <v>2021</v>
      </c>
      <c r="B172" s="5" t="s">
        <v>8</v>
      </c>
      <c r="C172" s="6">
        <v>44256</v>
      </c>
      <c r="D172" s="7" t="s">
        <v>24</v>
      </c>
      <c r="E172" s="8">
        <v>27998</v>
      </c>
    </row>
    <row r="173" spans="1:5" ht="14.25" customHeight="1">
      <c r="A173" s="4">
        <v>2021</v>
      </c>
      <c r="B173" s="5" t="s">
        <v>9</v>
      </c>
      <c r="C173" s="6">
        <v>44287</v>
      </c>
      <c r="D173" s="7" t="s">
        <v>24</v>
      </c>
      <c r="E173" s="8">
        <v>34063</v>
      </c>
    </row>
    <row r="174" spans="1:5" ht="14.25" customHeight="1">
      <c r="A174" s="4">
        <v>2021</v>
      </c>
      <c r="B174" s="5" t="s">
        <v>10</v>
      </c>
      <c r="C174" s="6">
        <v>44317</v>
      </c>
      <c r="D174" s="7" t="s">
        <v>24</v>
      </c>
      <c r="E174" s="8">
        <v>41040</v>
      </c>
    </row>
    <row r="175" spans="1:5" ht="14.25" customHeight="1">
      <c r="A175" s="4">
        <v>2021</v>
      </c>
      <c r="B175" s="5" t="s">
        <v>11</v>
      </c>
      <c r="C175" s="6">
        <v>44348</v>
      </c>
      <c r="D175" s="7" t="s">
        <v>24</v>
      </c>
      <c r="E175" s="8">
        <v>37162</v>
      </c>
    </row>
    <row r="176" spans="1:5" ht="14.25" customHeight="1">
      <c r="A176" s="4">
        <v>2021</v>
      </c>
      <c r="B176" s="5" t="s">
        <v>12</v>
      </c>
      <c r="C176" s="6">
        <v>44378</v>
      </c>
      <c r="D176" s="7" t="s">
        <v>24</v>
      </c>
      <c r="E176" s="8">
        <v>26777</v>
      </c>
    </row>
    <row r="177" spans="1:5" ht="14.25" customHeight="1">
      <c r="A177" s="4">
        <v>2021</v>
      </c>
      <c r="B177" s="5" t="s">
        <v>13</v>
      </c>
      <c r="C177" s="6">
        <v>44409</v>
      </c>
      <c r="D177" s="7" t="s">
        <v>24</v>
      </c>
      <c r="E177" s="8">
        <v>43948</v>
      </c>
    </row>
    <row r="178" spans="1:5" ht="14.25" customHeight="1">
      <c r="A178" s="4">
        <v>2021</v>
      </c>
      <c r="B178" s="5" t="s">
        <v>14</v>
      </c>
      <c r="C178" s="6">
        <v>44440</v>
      </c>
      <c r="D178" s="7" t="s">
        <v>24</v>
      </c>
      <c r="E178" s="8">
        <v>47933</v>
      </c>
    </row>
    <row r="179" spans="1:5" ht="14.25" customHeight="1">
      <c r="A179" s="4">
        <v>2021</v>
      </c>
      <c r="B179" s="5" t="s">
        <v>15</v>
      </c>
      <c r="C179" s="6">
        <v>44470</v>
      </c>
      <c r="D179" s="7" t="s">
        <v>24</v>
      </c>
      <c r="E179" s="8">
        <v>42812</v>
      </c>
    </row>
    <row r="180" spans="1:5" ht="14.25" customHeight="1">
      <c r="A180" s="4">
        <v>2021</v>
      </c>
      <c r="B180" s="5" t="s">
        <v>16</v>
      </c>
      <c r="C180" s="6">
        <v>44501</v>
      </c>
      <c r="D180" s="7" t="s">
        <v>24</v>
      </c>
      <c r="E180" s="8">
        <v>22811</v>
      </c>
    </row>
    <row r="181" spans="1:5" ht="14.25" customHeight="1">
      <c r="A181" s="4">
        <v>2021</v>
      </c>
      <c r="B181" s="5" t="s">
        <v>17</v>
      </c>
      <c r="C181" s="6">
        <v>44531</v>
      </c>
      <c r="D181" s="7" t="s">
        <v>24</v>
      </c>
      <c r="E181" s="8">
        <v>32773</v>
      </c>
    </row>
    <row r="182" spans="1:5" ht="14.25" customHeight="1">
      <c r="A182" s="4">
        <v>2022</v>
      </c>
      <c r="B182" s="5" t="s">
        <v>5</v>
      </c>
      <c r="C182" s="6">
        <v>44562</v>
      </c>
      <c r="D182" s="7" t="s">
        <v>24</v>
      </c>
      <c r="E182" s="8">
        <v>29220</v>
      </c>
    </row>
    <row r="183" spans="1:5" ht="14.25" customHeight="1">
      <c r="A183" s="4">
        <v>2022</v>
      </c>
      <c r="B183" s="5" t="s">
        <v>7</v>
      </c>
      <c r="C183" s="6">
        <v>44593</v>
      </c>
      <c r="D183" s="7" t="s">
        <v>24</v>
      </c>
      <c r="E183" s="8">
        <v>33545</v>
      </c>
    </row>
    <row r="184" spans="1:5" ht="14.25" customHeight="1">
      <c r="A184" s="4">
        <v>2022</v>
      </c>
      <c r="B184" s="5" t="s">
        <v>8</v>
      </c>
      <c r="C184" s="6">
        <v>44621</v>
      </c>
      <c r="D184" s="7" t="s">
        <v>24</v>
      </c>
      <c r="E184" s="8">
        <v>23010</v>
      </c>
    </row>
    <row r="185" spans="1:5" ht="14.25" customHeight="1">
      <c r="A185" s="4">
        <v>2022</v>
      </c>
      <c r="B185" s="5" t="s">
        <v>9</v>
      </c>
      <c r="C185" s="6">
        <v>44652</v>
      </c>
      <c r="D185" s="7" t="s">
        <v>24</v>
      </c>
      <c r="E185" s="8">
        <v>24977</v>
      </c>
    </row>
    <row r="186" spans="1:5" ht="14.25" customHeight="1">
      <c r="A186" s="4">
        <v>2022</v>
      </c>
      <c r="B186" s="5" t="s">
        <v>10</v>
      </c>
      <c r="C186" s="6">
        <v>44682</v>
      </c>
      <c r="D186" s="7" t="s">
        <v>24</v>
      </c>
      <c r="E186" s="8">
        <v>35946</v>
      </c>
    </row>
    <row r="187" spans="1:5" ht="14.25" customHeight="1">
      <c r="A187" s="4">
        <v>2022</v>
      </c>
      <c r="B187" s="5" t="s">
        <v>11</v>
      </c>
      <c r="C187" s="6">
        <v>44713</v>
      </c>
      <c r="D187" s="7" t="s">
        <v>24</v>
      </c>
      <c r="E187" s="8">
        <v>51732</v>
      </c>
    </row>
    <row r="188" spans="1:5" ht="14.25" customHeight="1">
      <c r="A188" s="4">
        <v>2022</v>
      </c>
      <c r="B188" s="5" t="s">
        <v>12</v>
      </c>
      <c r="C188" s="6">
        <v>44743</v>
      </c>
      <c r="D188" s="7" t="s">
        <v>24</v>
      </c>
      <c r="E188" s="8">
        <v>51631</v>
      </c>
    </row>
    <row r="189" spans="1:5" ht="14.25" customHeight="1">
      <c r="A189" s="4">
        <v>2022</v>
      </c>
      <c r="B189" s="5" t="s">
        <v>13</v>
      </c>
      <c r="C189" s="6">
        <v>44774</v>
      </c>
      <c r="D189" s="7" t="s">
        <v>24</v>
      </c>
      <c r="E189" s="8">
        <v>33490</v>
      </c>
    </row>
    <row r="190" spans="1:5" ht="14.25" customHeight="1">
      <c r="A190" s="4">
        <v>2022</v>
      </c>
      <c r="B190" s="5" t="s">
        <v>14</v>
      </c>
      <c r="C190" s="6">
        <v>44805</v>
      </c>
      <c r="D190" s="7" t="s">
        <v>24</v>
      </c>
      <c r="E190" s="8">
        <v>25926</v>
      </c>
    </row>
    <row r="191" spans="1:5" ht="14.25" customHeight="1">
      <c r="A191" s="4">
        <v>2022</v>
      </c>
      <c r="B191" s="5" t="s">
        <v>15</v>
      </c>
      <c r="C191" s="6">
        <v>44835</v>
      </c>
      <c r="D191" s="7" t="s">
        <v>24</v>
      </c>
      <c r="E191" s="8">
        <v>38208</v>
      </c>
    </row>
    <row r="192" spans="1:5" ht="14.25" customHeight="1">
      <c r="A192" s="4">
        <v>2022</v>
      </c>
      <c r="B192" s="5" t="s">
        <v>16</v>
      </c>
      <c r="C192" s="6">
        <v>44866</v>
      </c>
      <c r="D192" s="7" t="s">
        <v>24</v>
      </c>
      <c r="E192" s="8">
        <v>26778</v>
      </c>
    </row>
    <row r="193" spans="1:5" ht="14.25" customHeight="1">
      <c r="A193" s="4">
        <v>2022</v>
      </c>
      <c r="B193" s="5" t="s">
        <v>17</v>
      </c>
      <c r="C193" s="6">
        <v>44896</v>
      </c>
      <c r="D193" s="7" t="s">
        <v>24</v>
      </c>
      <c r="E193" s="8">
        <v>23135</v>
      </c>
    </row>
    <row r="194" spans="1:5" ht="14.25" customHeight="1">
      <c r="A194" s="4">
        <v>2021</v>
      </c>
      <c r="B194" s="5" t="s">
        <v>5</v>
      </c>
      <c r="C194" s="6">
        <v>44197</v>
      </c>
      <c r="D194" s="7" t="s">
        <v>25</v>
      </c>
      <c r="E194" s="8">
        <v>2800</v>
      </c>
    </row>
    <row r="195" spans="1:5" ht="14.25" customHeight="1">
      <c r="A195" s="4">
        <v>2021</v>
      </c>
      <c r="B195" s="5" t="s">
        <v>7</v>
      </c>
      <c r="C195" s="6">
        <v>44228</v>
      </c>
      <c r="D195" s="7" t="s">
        <v>25</v>
      </c>
      <c r="E195" s="8">
        <v>1167</v>
      </c>
    </row>
    <row r="196" spans="1:5" ht="14.25" customHeight="1">
      <c r="A196" s="4">
        <v>2021</v>
      </c>
      <c r="B196" s="5" t="s">
        <v>8</v>
      </c>
      <c r="C196" s="6">
        <v>44256</v>
      </c>
      <c r="D196" s="7" t="s">
        <v>25</v>
      </c>
      <c r="E196" s="8">
        <v>959</v>
      </c>
    </row>
    <row r="197" spans="1:5" ht="14.25" customHeight="1">
      <c r="A197" s="4">
        <v>2021</v>
      </c>
      <c r="B197" s="5" t="s">
        <v>9</v>
      </c>
      <c r="C197" s="6">
        <v>44287</v>
      </c>
      <c r="D197" s="7" t="s">
        <v>25</v>
      </c>
      <c r="E197" s="8">
        <v>1474</v>
      </c>
    </row>
    <row r="198" spans="1:5" ht="14.25" customHeight="1">
      <c r="A198" s="4">
        <v>2021</v>
      </c>
      <c r="B198" s="5" t="s">
        <v>10</v>
      </c>
      <c r="C198" s="6">
        <v>44317</v>
      </c>
      <c r="D198" s="7" t="s">
        <v>25</v>
      </c>
      <c r="E198" s="8">
        <v>2885</v>
      </c>
    </row>
    <row r="199" spans="1:5" ht="14.25" customHeight="1">
      <c r="A199" s="4">
        <v>2021</v>
      </c>
      <c r="B199" s="5" t="s">
        <v>11</v>
      </c>
      <c r="C199" s="6">
        <v>44348</v>
      </c>
      <c r="D199" s="7" t="s">
        <v>25</v>
      </c>
      <c r="E199" s="8">
        <v>1984</v>
      </c>
    </row>
    <row r="200" spans="1:5" ht="14.25" customHeight="1">
      <c r="A200" s="4">
        <v>2021</v>
      </c>
      <c r="B200" s="5" t="s">
        <v>12</v>
      </c>
      <c r="C200" s="6">
        <v>44378</v>
      </c>
      <c r="D200" s="7" t="s">
        <v>25</v>
      </c>
      <c r="E200" s="8">
        <v>1242</v>
      </c>
    </row>
    <row r="201" spans="1:5" ht="14.25" customHeight="1">
      <c r="A201" s="4">
        <v>2021</v>
      </c>
      <c r="B201" s="5" t="s">
        <v>13</v>
      </c>
      <c r="C201" s="6">
        <v>44409</v>
      </c>
      <c r="D201" s="7" t="s">
        <v>25</v>
      </c>
      <c r="E201" s="8">
        <v>1063</v>
      </c>
    </row>
    <row r="202" spans="1:5" ht="14.25" customHeight="1">
      <c r="A202" s="4">
        <v>2021</v>
      </c>
      <c r="B202" s="5" t="s">
        <v>14</v>
      </c>
      <c r="C202" s="6">
        <v>44440</v>
      </c>
      <c r="D202" s="7" t="s">
        <v>25</v>
      </c>
      <c r="E202" s="8">
        <v>3900</v>
      </c>
    </row>
    <row r="203" spans="1:5" ht="14.25" customHeight="1">
      <c r="A203" s="4">
        <v>2021</v>
      </c>
      <c r="B203" s="5" t="s">
        <v>15</v>
      </c>
      <c r="C203" s="6">
        <v>44470</v>
      </c>
      <c r="D203" s="7" t="s">
        <v>25</v>
      </c>
      <c r="E203" s="8">
        <v>678</v>
      </c>
    </row>
    <row r="204" spans="1:5" ht="14.25" customHeight="1">
      <c r="A204" s="4">
        <v>2021</v>
      </c>
      <c r="B204" s="5" t="s">
        <v>16</v>
      </c>
      <c r="C204" s="6">
        <v>44501</v>
      </c>
      <c r="D204" s="7" t="s">
        <v>25</v>
      </c>
      <c r="E204" s="8">
        <v>477</v>
      </c>
    </row>
    <row r="205" spans="1:5" ht="14.25" customHeight="1">
      <c r="A205" s="4">
        <v>2021</v>
      </c>
      <c r="B205" s="5" t="s">
        <v>17</v>
      </c>
      <c r="C205" s="6">
        <v>44531</v>
      </c>
      <c r="D205" s="7" t="s">
        <v>25</v>
      </c>
      <c r="E205" s="8">
        <v>1199</v>
      </c>
    </row>
    <row r="206" spans="1:5" ht="14.25" customHeight="1">
      <c r="A206" s="4">
        <v>2022</v>
      </c>
      <c r="B206" s="5" t="s">
        <v>5</v>
      </c>
      <c r="C206" s="6">
        <v>44562</v>
      </c>
      <c r="D206" s="7" t="s">
        <v>25</v>
      </c>
      <c r="E206" s="8">
        <v>1000</v>
      </c>
    </row>
    <row r="207" spans="1:5" ht="14.25" customHeight="1">
      <c r="A207" s="4">
        <v>2022</v>
      </c>
      <c r="B207" s="5" t="s">
        <v>7</v>
      </c>
      <c r="C207" s="6">
        <v>44593</v>
      </c>
      <c r="D207" s="7" t="s">
        <v>25</v>
      </c>
      <c r="E207" s="8">
        <v>1064</v>
      </c>
    </row>
    <row r="208" spans="1:5" ht="14.25" customHeight="1">
      <c r="A208" s="4">
        <v>2022</v>
      </c>
      <c r="B208" s="5" t="s">
        <v>8</v>
      </c>
      <c r="C208" s="6">
        <v>44621</v>
      </c>
      <c r="D208" s="7" t="s">
        <v>25</v>
      </c>
      <c r="E208" s="8">
        <v>947</v>
      </c>
    </row>
    <row r="209" spans="1:5" ht="14.25" customHeight="1">
      <c r="A209" s="4">
        <v>2022</v>
      </c>
      <c r="B209" s="5" t="s">
        <v>9</v>
      </c>
      <c r="C209" s="6">
        <v>44652</v>
      </c>
      <c r="D209" s="7" t="s">
        <v>25</v>
      </c>
      <c r="E209" s="8">
        <v>1273</v>
      </c>
    </row>
    <row r="210" spans="1:5" ht="14.25" customHeight="1">
      <c r="A210" s="4">
        <v>2022</v>
      </c>
      <c r="B210" s="5" t="s">
        <v>10</v>
      </c>
      <c r="C210" s="6">
        <v>44682</v>
      </c>
      <c r="D210" s="7" t="s">
        <v>25</v>
      </c>
      <c r="E210" s="8">
        <v>1389</v>
      </c>
    </row>
    <row r="211" spans="1:5" ht="14.25" customHeight="1">
      <c r="A211" s="4">
        <v>2022</v>
      </c>
      <c r="B211" s="5" t="s">
        <v>11</v>
      </c>
      <c r="C211" s="6">
        <v>44713</v>
      </c>
      <c r="D211" s="7" t="s">
        <v>25</v>
      </c>
      <c r="E211" s="8">
        <v>1392</v>
      </c>
    </row>
    <row r="212" spans="1:5" ht="14.25" customHeight="1">
      <c r="A212" s="4">
        <v>2022</v>
      </c>
      <c r="B212" s="5" t="s">
        <v>12</v>
      </c>
      <c r="C212" s="6">
        <v>44743</v>
      </c>
      <c r="D212" s="7" t="s">
        <v>25</v>
      </c>
      <c r="E212" s="8">
        <v>2250</v>
      </c>
    </row>
    <row r="213" spans="1:5" ht="14.25" customHeight="1">
      <c r="A213" s="4">
        <v>2022</v>
      </c>
      <c r="B213" s="5" t="s">
        <v>13</v>
      </c>
      <c r="C213" s="6">
        <v>44774</v>
      </c>
      <c r="D213" s="7" t="s">
        <v>25</v>
      </c>
      <c r="E213" s="8">
        <v>1694</v>
      </c>
    </row>
    <row r="214" spans="1:5" ht="14.25" customHeight="1">
      <c r="A214" s="4">
        <v>2022</v>
      </c>
      <c r="B214" s="5" t="s">
        <v>14</v>
      </c>
      <c r="C214" s="6">
        <v>44805</v>
      </c>
      <c r="D214" s="7" t="s">
        <v>25</v>
      </c>
      <c r="E214" s="8">
        <v>1056</v>
      </c>
    </row>
    <row r="215" spans="1:5" ht="14.25" customHeight="1">
      <c r="A215" s="4">
        <v>2022</v>
      </c>
      <c r="B215" s="5" t="s">
        <v>15</v>
      </c>
      <c r="C215" s="6">
        <v>44835</v>
      </c>
      <c r="D215" s="7" t="s">
        <v>25</v>
      </c>
      <c r="E215" s="8">
        <v>1080</v>
      </c>
    </row>
    <row r="216" spans="1:5" ht="14.25" customHeight="1">
      <c r="A216" s="4">
        <v>2022</v>
      </c>
      <c r="B216" s="5" t="s">
        <v>16</v>
      </c>
      <c r="C216" s="6">
        <v>44866</v>
      </c>
      <c r="D216" s="7" t="s">
        <v>25</v>
      </c>
      <c r="E216" s="8">
        <v>1079</v>
      </c>
    </row>
    <row r="217" spans="1:5" ht="14.25" customHeight="1">
      <c r="A217" s="4">
        <v>2022</v>
      </c>
      <c r="B217" s="5" t="s">
        <v>17</v>
      </c>
      <c r="C217" s="6">
        <v>44896</v>
      </c>
      <c r="D217" s="7" t="s">
        <v>25</v>
      </c>
      <c r="E217" s="8">
        <v>723</v>
      </c>
    </row>
    <row r="218" spans="1:5" ht="14.25" customHeight="1">
      <c r="A218" s="4">
        <v>2021</v>
      </c>
      <c r="B218" s="5" t="s">
        <v>5</v>
      </c>
      <c r="C218" s="6">
        <v>44197</v>
      </c>
      <c r="D218" s="7" t="s">
        <v>26</v>
      </c>
      <c r="E218" s="8">
        <v>1200</v>
      </c>
    </row>
    <row r="219" spans="1:5" ht="14.25" customHeight="1">
      <c r="A219" s="4">
        <v>2021</v>
      </c>
      <c r="B219" s="5" t="s">
        <v>7</v>
      </c>
      <c r="C219" s="6">
        <v>44228</v>
      </c>
      <c r="D219" s="7" t="s">
        <v>26</v>
      </c>
      <c r="E219" s="8">
        <v>1234</v>
      </c>
    </row>
    <row r="220" spans="1:5" ht="14.25" customHeight="1">
      <c r="A220" s="4">
        <v>2021</v>
      </c>
      <c r="B220" s="5" t="s">
        <v>8</v>
      </c>
      <c r="C220" s="6">
        <v>44256</v>
      </c>
      <c r="D220" s="7" t="s">
        <v>26</v>
      </c>
      <c r="E220" s="8">
        <v>2742</v>
      </c>
    </row>
    <row r="221" spans="1:5" ht="14.25" customHeight="1">
      <c r="A221" s="4">
        <v>2021</v>
      </c>
      <c r="B221" s="5" t="s">
        <v>9</v>
      </c>
      <c r="C221" s="6">
        <v>44287</v>
      </c>
      <c r="D221" s="7" t="s">
        <v>26</v>
      </c>
      <c r="E221" s="8">
        <v>1800</v>
      </c>
    </row>
    <row r="222" spans="1:5" ht="14.25" customHeight="1">
      <c r="A222" s="4">
        <v>2021</v>
      </c>
      <c r="B222" s="5" t="s">
        <v>10</v>
      </c>
      <c r="C222" s="6">
        <v>44317</v>
      </c>
      <c r="D222" s="7" t="s">
        <v>26</v>
      </c>
      <c r="E222" s="8">
        <v>2763</v>
      </c>
    </row>
    <row r="223" spans="1:5" ht="14.25" customHeight="1">
      <c r="A223" s="4">
        <v>2021</v>
      </c>
      <c r="B223" s="5" t="s">
        <v>11</v>
      </c>
      <c r="C223" s="6">
        <v>44348</v>
      </c>
      <c r="D223" s="7" t="s">
        <v>26</v>
      </c>
      <c r="E223" s="8">
        <v>3282</v>
      </c>
    </row>
    <row r="224" spans="1:5" ht="14.25" customHeight="1">
      <c r="A224" s="4">
        <v>2021</v>
      </c>
      <c r="B224" s="5" t="s">
        <v>12</v>
      </c>
      <c r="C224" s="6">
        <v>44378</v>
      </c>
      <c r="D224" s="7" t="s">
        <v>26</v>
      </c>
      <c r="E224" s="8">
        <v>3200</v>
      </c>
    </row>
    <row r="225" spans="1:5" ht="14.25" customHeight="1">
      <c r="A225" s="4">
        <v>2021</v>
      </c>
      <c r="B225" s="5" t="s">
        <v>13</v>
      </c>
      <c r="C225" s="6">
        <v>44409</v>
      </c>
      <c r="D225" s="7" t="s">
        <v>26</v>
      </c>
      <c r="E225" s="8">
        <v>3000</v>
      </c>
    </row>
    <row r="226" spans="1:5" ht="14.25" customHeight="1">
      <c r="A226" s="4">
        <v>2021</v>
      </c>
      <c r="B226" s="5" t="s">
        <v>14</v>
      </c>
      <c r="C226" s="6">
        <v>44440</v>
      </c>
      <c r="D226" s="7" t="s">
        <v>26</v>
      </c>
      <c r="E226" s="8">
        <v>3661</v>
      </c>
    </row>
    <row r="227" spans="1:5" ht="14.25" customHeight="1">
      <c r="A227" s="4">
        <v>2021</v>
      </c>
      <c r="B227" s="5" t="s">
        <v>15</v>
      </c>
      <c r="C227" s="6">
        <v>44470</v>
      </c>
      <c r="D227" s="7" t="s">
        <v>26</v>
      </c>
      <c r="E227" s="8">
        <v>2000</v>
      </c>
    </row>
    <row r="228" spans="1:5" ht="14.25" customHeight="1">
      <c r="A228" s="4">
        <v>2021</v>
      </c>
      <c r="B228" s="5" t="s">
        <v>16</v>
      </c>
      <c r="C228" s="6">
        <v>44501</v>
      </c>
      <c r="D228" s="7" t="s">
        <v>26</v>
      </c>
      <c r="E228" s="8">
        <v>1100</v>
      </c>
    </row>
    <row r="229" spans="1:5" ht="14.25" customHeight="1">
      <c r="A229" s="4">
        <v>2021</v>
      </c>
      <c r="B229" s="5" t="s">
        <v>17</v>
      </c>
      <c r="C229" s="6">
        <v>44531</v>
      </c>
      <c r="D229" s="7" t="s">
        <v>26</v>
      </c>
      <c r="E229" s="8">
        <v>1200</v>
      </c>
    </row>
    <row r="230" spans="1:5" ht="14.25" customHeight="1">
      <c r="A230" s="4">
        <v>2022</v>
      </c>
      <c r="B230" s="5" t="s">
        <v>5</v>
      </c>
      <c r="C230" s="6">
        <v>44562</v>
      </c>
      <c r="D230" s="7" t="s">
        <v>26</v>
      </c>
      <c r="E230" s="8">
        <v>539</v>
      </c>
    </row>
    <row r="231" spans="1:5" ht="14.25" customHeight="1">
      <c r="A231" s="4">
        <v>2022</v>
      </c>
      <c r="B231" s="5" t="s">
        <v>7</v>
      </c>
      <c r="C231" s="6">
        <v>44593</v>
      </c>
      <c r="D231" s="7" t="s">
        <v>26</v>
      </c>
      <c r="E231" s="8">
        <v>527</v>
      </c>
    </row>
    <row r="232" spans="1:5" ht="14.25" customHeight="1">
      <c r="A232" s="4">
        <v>2022</v>
      </c>
      <c r="B232" s="5" t="s">
        <v>8</v>
      </c>
      <c r="C232" s="6">
        <v>44621</v>
      </c>
      <c r="D232" s="7" t="s">
        <v>26</v>
      </c>
      <c r="E232" s="8">
        <v>662</v>
      </c>
    </row>
    <row r="233" spans="1:5" ht="14.25" customHeight="1">
      <c r="A233" s="4">
        <v>2022</v>
      </c>
      <c r="B233" s="5" t="s">
        <v>9</v>
      </c>
      <c r="C233" s="6">
        <v>44652</v>
      </c>
      <c r="D233" s="7" t="s">
        <v>26</v>
      </c>
      <c r="E233" s="8">
        <v>531</v>
      </c>
    </row>
    <row r="234" spans="1:5" ht="14.25" customHeight="1">
      <c r="A234" s="4">
        <v>2022</v>
      </c>
      <c r="B234" s="5" t="s">
        <v>10</v>
      </c>
      <c r="C234" s="6">
        <v>44682</v>
      </c>
      <c r="D234" s="7" t="s">
        <v>26</v>
      </c>
      <c r="E234" s="8">
        <v>944</v>
      </c>
    </row>
    <row r="235" spans="1:5" ht="14.25" customHeight="1">
      <c r="A235" s="4">
        <v>2022</v>
      </c>
      <c r="B235" s="5" t="s">
        <v>11</v>
      </c>
      <c r="C235" s="6">
        <v>44713</v>
      </c>
      <c r="D235" s="7" t="s">
        <v>26</v>
      </c>
      <c r="E235" s="8">
        <v>948</v>
      </c>
    </row>
    <row r="236" spans="1:5" ht="14.25" customHeight="1">
      <c r="A236" s="4">
        <v>2022</v>
      </c>
      <c r="B236" s="5" t="s">
        <v>12</v>
      </c>
      <c r="C236" s="6">
        <v>44743</v>
      </c>
      <c r="D236" s="7" t="s">
        <v>26</v>
      </c>
      <c r="E236" s="8">
        <v>608</v>
      </c>
    </row>
    <row r="237" spans="1:5" ht="14.25" customHeight="1">
      <c r="A237" s="4">
        <v>2022</v>
      </c>
      <c r="B237" s="5" t="s">
        <v>13</v>
      </c>
      <c r="C237" s="6">
        <v>44774</v>
      </c>
      <c r="D237" s="7" t="s">
        <v>26</v>
      </c>
      <c r="E237" s="8">
        <v>577</v>
      </c>
    </row>
    <row r="238" spans="1:5" ht="14.25" customHeight="1">
      <c r="A238" s="4">
        <v>2022</v>
      </c>
      <c r="B238" s="5" t="s">
        <v>14</v>
      </c>
      <c r="C238" s="6">
        <v>44805</v>
      </c>
      <c r="D238" s="7" t="s">
        <v>26</v>
      </c>
      <c r="E238" s="8">
        <v>743</v>
      </c>
    </row>
    <row r="239" spans="1:5" ht="14.25" customHeight="1">
      <c r="A239" s="4">
        <v>2022</v>
      </c>
      <c r="B239" s="5" t="s">
        <v>15</v>
      </c>
      <c r="C239" s="6">
        <v>44835</v>
      </c>
      <c r="D239" s="7" t="s">
        <v>26</v>
      </c>
      <c r="E239" s="8">
        <v>686</v>
      </c>
    </row>
    <row r="240" spans="1:5" ht="14.25" customHeight="1">
      <c r="A240" s="4">
        <v>2022</v>
      </c>
      <c r="B240" s="5" t="s">
        <v>16</v>
      </c>
      <c r="C240" s="6">
        <v>44866</v>
      </c>
      <c r="D240" s="7" t="s">
        <v>26</v>
      </c>
      <c r="E240" s="8">
        <v>482</v>
      </c>
    </row>
    <row r="241" spans="1:5" ht="14.25" customHeight="1">
      <c r="A241" s="4">
        <v>2022</v>
      </c>
      <c r="B241" s="5" t="s">
        <v>17</v>
      </c>
      <c r="C241" s="6">
        <v>44896</v>
      </c>
      <c r="D241" s="7" t="s">
        <v>26</v>
      </c>
      <c r="E241" s="8">
        <v>462</v>
      </c>
    </row>
    <row r="242" spans="1:5" ht="14.25" customHeight="1">
      <c r="A242" s="4">
        <v>2021</v>
      </c>
      <c r="B242" s="5" t="s">
        <v>5</v>
      </c>
      <c r="C242" s="6">
        <v>44197</v>
      </c>
      <c r="D242" s="7" t="s">
        <v>27</v>
      </c>
      <c r="E242" s="8">
        <v>570</v>
      </c>
    </row>
    <row r="243" spans="1:5" ht="14.25" customHeight="1">
      <c r="A243" s="4">
        <v>2021</v>
      </c>
      <c r="B243" s="5" t="s">
        <v>7</v>
      </c>
      <c r="C243" s="6">
        <v>44228</v>
      </c>
      <c r="D243" s="7" t="s">
        <v>27</v>
      </c>
      <c r="E243" s="8">
        <v>585</v>
      </c>
    </row>
    <row r="244" spans="1:5" ht="14.25" customHeight="1">
      <c r="A244" s="4">
        <v>2021</v>
      </c>
      <c r="B244" s="5" t="s">
        <v>8</v>
      </c>
      <c r="C244" s="6">
        <v>44256</v>
      </c>
      <c r="D244" s="7" t="s">
        <v>27</v>
      </c>
      <c r="E244" s="8">
        <v>606</v>
      </c>
    </row>
    <row r="245" spans="1:5" ht="14.25" customHeight="1">
      <c r="A245" s="4">
        <v>2021</v>
      </c>
      <c r="B245" s="5" t="s">
        <v>9</v>
      </c>
      <c r="C245" s="6">
        <v>44287</v>
      </c>
      <c r="D245" s="7" t="s">
        <v>27</v>
      </c>
      <c r="E245" s="8">
        <v>630</v>
      </c>
    </row>
    <row r="246" spans="1:5" ht="14.25" customHeight="1">
      <c r="A246" s="4">
        <v>2021</v>
      </c>
      <c r="B246" s="5" t="s">
        <v>10</v>
      </c>
      <c r="C246" s="6">
        <v>44317</v>
      </c>
      <c r="D246" s="7" t="s">
        <v>27</v>
      </c>
      <c r="E246" s="8">
        <v>660</v>
      </c>
    </row>
    <row r="247" spans="1:5" ht="14.25" customHeight="1">
      <c r="A247" s="4">
        <v>2021</v>
      </c>
      <c r="B247" s="5" t="s">
        <v>11</v>
      </c>
      <c r="C247" s="6">
        <v>44348</v>
      </c>
      <c r="D247" s="7" t="s">
        <v>27</v>
      </c>
      <c r="E247" s="8">
        <v>696</v>
      </c>
    </row>
    <row r="248" spans="1:5" ht="14.25" customHeight="1">
      <c r="A248" s="4">
        <v>2021</v>
      </c>
      <c r="B248" s="5" t="s">
        <v>12</v>
      </c>
      <c r="C248" s="6">
        <v>44378</v>
      </c>
      <c r="D248" s="7" t="s">
        <v>27</v>
      </c>
      <c r="E248" s="8">
        <v>735</v>
      </c>
    </row>
    <row r="249" spans="1:5" ht="14.25" customHeight="1">
      <c r="A249" s="4">
        <v>2021</v>
      </c>
      <c r="B249" s="5" t="s">
        <v>13</v>
      </c>
      <c r="C249" s="6">
        <v>44409</v>
      </c>
      <c r="D249" s="7" t="s">
        <v>27</v>
      </c>
      <c r="E249" s="8">
        <v>780</v>
      </c>
    </row>
    <row r="250" spans="1:5" ht="14.25" customHeight="1">
      <c r="A250" s="4">
        <v>2021</v>
      </c>
      <c r="B250" s="5" t="s">
        <v>14</v>
      </c>
      <c r="C250" s="6">
        <v>44440</v>
      </c>
      <c r="D250" s="7" t="s">
        <v>27</v>
      </c>
      <c r="E250" s="8">
        <v>828</v>
      </c>
    </row>
    <row r="251" spans="1:5" ht="14.25" customHeight="1">
      <c r="A251" s="4">
        <v>2021</v>
      </c>
      <c r="B251" s="5" t="s">
        <v>15</v>
      </c>
      <c r="C251" s="6">
        <v>44470</v>
      </c>
      <c r="D251" s="7" t="s">
        <v>27</v>
      </c>
      <c r="E251" s="8">
        <v>879</v>
      </c>
    </row>
    <row r="252" spans="1:5" ht="14.25" customHeight="1">
      <c r="A252" s="4">
        <v>2021</v>
      </c>
      <c r="B252" s="5" t="s">
        <v>16</v>
      </c>
      <c r="C252" s="6">
        <v>44501</v>
      </c>
      <c r="D252" s="7" t="s">
        <v>27</v>
      </c>
      <c r="E252" s="8">
        <v>936</v>
      </c>
    </row>
    <row r="253" spans="1:5" ht="14.25" customHeight="1">
      <c r="A253" s="4">
        <v>2021</v>
      </c>
      <c r="B253" s="5" t="s">
        <v>17</v>
      </c>
      <c r="C253" s="6">
        <v>44531</v>
      </c>
      <c r="D253" s="7" t="s">
        <v>27</v>
      </c>
      <c r="E253" s="8">
        <v>996</v>
      </c>
    </row>
    <row r="254" spans="1:5" ht="14.25" customHeight="1">
      <c r="A254" s="4">
        <v>2022</v>
      </c>
      <c r="B254" s="5" t="s">
        <v>5</v>
      </c>
      <c r="C254" s="6">
        <v>44562</v>
      </c>
      <c r="D254" s="7" t="s">
        <v>27</v>
      </c>
      <c r="E254" s="8">
        <v>1062</v>
      </c>
    </row>
    <row r="255" spans="1:5" ht="14.25" customHeight="1">
      <c r="A255" s="4">
        <v>2022</v>
      </c>
      <c r="B255" s="5" t="s">
        <v>7</v>
      </c>
      <c r="C255" s="6">
        <v>44593</v>
      </c>
      <c r="D255" s="7" t="s">
        <v>27</v>
      </c>
      <c r="E255" s="8">
        <v>1134</v>
      </c>
    </row>
    <row r="256" spans="1:5" ht="14.25" customHeight="1">
      <c r="A256" s="4">
        <v>2022</v>
      </c>
      <c r="B256" s="5" t="s">
        <v>8</v>
      </c>
      <c r="C256" s="6">
        <v>44621</v>
      </c>
      <c r="D256" s="7" t="s">
        <v>27</v>
      </c>
      <c r="E256" s="8">
        <v>1212</v>
      </c>
    </row>
    <row r="257" spans="1:5" ht="14.25" customHeight="1">
      <c r="A257" s="4">
        <v>2022</v>
      </c>
      <c r="B257" s="5" t="s">
        <v>9</v>
      </c>
      <c r="C257" s="6">
        <v>44652</v>
      </c>
      <c r="D257" s="7" t="s">
        <v>27</v>
      </c>
      <c r="E257" s="8">
        <v>1296</v>
      </c>
    </row>
    <row r="258" spans="1:5" ht="14.25" customHeight="1">
      <c r="A258" s="4">
        <v>2022</v>
      </c>
      <c r="B258" s="5" t="s">
        <v>10</v>
      </c>
      <c r="C258" s="6">
        <v>44682</v>
      </c>
      <c r="D258" s="7" t="s">
        <v>27</v>
      </c>
      <c r="E258" s="8">
        <v>1386</v>
      </c>
    </row>
    <row r="259" spans="1:5" ht="14.25" customHeight="1">
      <c r="A259" s="4">
        <v>2022</v>
      </c>
      <c r="B259" s="5" t="s">
        <v>11</v>
      </c>
      <c r="C259" s="6">
        <v>44713</v>
      </c>
      <c r="D259" s="7" t="s">
        <v>27</v>
      </c>
      <c r="E259" s="8">
        <v>1482</v>
      </c>
    </row>
    <row r="260" spans="1:5" ht="14.25" customHeight="1">
      <c r="A260" s="4">
        <v>2022</v>
      </c>
      <c r="B260" s="5" t="s">
        <v>12</v>
      </c>
      <c r="C260" s="6">
        <v>44743</v>
      </c>
      <c r="D260" s="7" t="s">
        <v>27</v>
      </c>
      <c r="E260" s="8">
        <v>1584</v>
      </c>
    </row>
    <row r="261" spans="1:5" ht="14.25" customHeight="1">
      <c r="A261" s="4">
        <v>2022</v>
      </c>
      <c r="B261" s="5" t="s">
        <v>13</v>
      </c>
      <c r="C261" s="6">
        <v>44774</v>
      </c>
      <c r="D261" s="7" t="s">
        <v>27</v>
      </c>
      <c r="E261" s="8">
        <v>1692</v>
      </c>
    </row>
    <row r="262" spans="1:5" ht="14.25" customHeight="1">
      <c r="A262" s="4">
        <v>2022</v>
      </c>
      <c r="B262" s="5" t="s">
        <v>14</v>
      </c>
      <c r="C262" s="6">
        <v>44805</v>
      </c>
      <c r="D262" s="7" t="s">
        <v>27</v>
      </c>
      <c r="E262" s="8">
        <v>1806</v>
      </c>
    </row>
    <row r="263" spans="1:5" ht="14.25" customHeight="1">
      <c r="A263" s="4">
        <v>2022</v>
      </c>
      <c r="B263" s="5" t="s">
        <v>15</v>
      </c>
      <c r="C263" s="6">
        <v>44835</v>
      </c>
      <c r="D263" s="7" t="s">
        <v>27</v>
      </c>
      <c r="E263" s="8">
        <v>1926</v>
      </c>
    </row>
    <row r="264" spans="1:5" ht="14.25" customHeight="1">
      <c r="A264" s="4">
        <v>2022</v>
      </c>
      <c r="B264" s="5" t="s">
        <v>16</v>
      </c>
      <c r="C264" s="6">
        <v>44866</v>
      </c>
      <c r="D264" s="7" t="s">
        <v>27</v>
      </c>
      <c r="E264" s="8">
        <v>2052</v>
      </c>
    </row>
    <row r="265" spans="1:5" ht="14.25" customHeight="1">
      <c r="A265" s="4">
        <v>2022</v>
      </c>
      <c r="B265" s="5" t="s">
        <v>17</v>
      </c>
      <c r="C265" s="6">
        <v>44896</v>
      </c>
      <c r="D265" s="7" t="s">
        <v>27</v>
      </c>
      <c r="E265" s="8">
        <v>2184</v>
      </c>
    </row>
    <row r="266" spans="1:5" ht="14.25" customHeight="1">
      <c r="A266" s="4">
        <v>2021</v>
      </c>
      <c r="B266" s="5" t="s">
        <v>5</v>
      </c>
      <c r="C266" s="6">
        <v>44197</v>
      </c>
      <c r="D266" s="7" t="s">
        <v>28</v>
      </c>
      <c r="E266" s="8">
        <v>601</v>
      </c>
    </row>
    <row r="267" spans="1:5" ht="14.25" customHeight="1">
      <c r="A267" s="4">
        <v>2021</v>
      </c>
      <c r="B267" s="5" t="s">
        <v>7</v>
      </c>
      <c r="C267" s="6">
        <v>44228</v>
      </c>
      <c r="D267" s="7" t="s">
        <v>28</v>
      </c>
      <c r="E267" s="8">
        <v>755</v>
      </c>
    </row>
    <row r="268" spans="1:5" ht="14.25" customHeight="1">
      <c r="A268" s="4">
        <v>2021</v>
      </c>
      <c r="B268" s="5" t="s">
        <v>8</v>
      </c>
      <c r="C268" s="6">
        <v>44256</v>
      </c>
      <c r="D268" s="7" t="s">
        <v>28</v>
      </c>
      <c r="E268" s="8">
        <v>442</v>
      </c>
    </row>
    <row r="269" spans="1:5" ht="14.25" customHeight="1">
      <c r="A269" s="4">
        <v>2021</v>
      </c>
      <c r="B269" s="5" t="s">
        <v>9</v>
      </c>
      <c r="C269" s="6">
        <v>44287</v>
      </c>
      <c r="D269" s="7" t="s">
        <v>28</v>
      </c>
      <c r="E269" s="8">
        <v>763</v>
      </c>
    </row>
    <row r="270" spans="1:5" ht="14.25" customHeight="1">
      <c r="A270" s="4">
        <v>2021</v>
      </c>
      <c r="B270" s="5" t="s">
        <v>10</v>
      </c>
      <c r="C270" s="6">
        <v>44317</v>
      </c>
      <c r="D270" s="7" t="s">
        <v>28</v>
      </c>
      <c r="E270" s="8">
        <v>951</v>
      </c>
    </row>
    <row r="271" spans="1:5" ht="14.25" customHeight="1">
      <c r="A271" s="4">
        <v>2021</v>
      </c>
      <c r="B271" s="5" t="s">
        <v>11</v>
      </c>
      <c r="C271" s="6">
        <v>44348</v>
      </c>
      <c r="D271" s="7" t="s">
        <v>28</v>
      </c>
      <c r="E271" s="8">
        <v>954</v>
      </c>
    </row>
    <row r="272" spans="1:5" ht="14.25" customHeight="1">
      <c r="A272" s="4">
        <v>2021</v>
      </c>
      <c r="B272" s="5" t="s">
        <v>12</v>
      </c>
      <c r="C272" s="6">
        <v>44378</v>
      </c>
      <c r="D272" s="7" t="s">
        <v>28</v>
      </c>
      <c r="E272" s="8">
        <v>1100</v>
      </c>
    </row>
    <row r="273" spans="1:5" ht="14.25" customHeight="1">
      <c r="A273" s="4">
        <v>2021</v>
      </c>
      <c r="B273" s="5" t="s">
        <v>13</v>
      </c>
      <c r="C273" s="6">
        <v>44409</v>
      </c>
      <c r="D273" s="7" t="s">
        <v>28</v>
      </c>
      <c r="E273" s="8">
        <v>700</v>
      </c>
    </row>
    <row r="274" spans="1:5" ht="14.25" customHeight="1">
      <c r="A274" s="4">
        <v>2021</v>
      </c>
      <c r="B274" s="5" t="s">
        <v>14</v>
      </c>
      <c r="C274" s="6">
        <v>44440</v>
      </c>
      <c r="D274" s="7" t="s">
        <v>28</v>
      </c>
      <c r="E274" s="8">
        <v>890</v>
      </c>
    </row>
    <row r="275" spans="1:5" ht="14.25" customHeight="1">
      <c r="A275" s="4">
        <v>2021</v>
      </c>
      <c r="B275" s="5" t="s">
        <v>15</v>
      </c>
      <c r="C275" s="6">
        <v>44470</v>
      </c>
      <c r="D275" s="7" t="s">
        <v>28</v>
      </c>
      <c r="E275" s="8">
        <v>881</v>
      </c>
    </row>
    <row r="276" spans="1:5" ht="14.25" customHeight="1">
      <c r="A276" s="4">
        <v>2021</v>
      </c>
      <c r="B276" s="5" t="s">
        <v>16</v>
      </c>
      <c r="C276" s="6">
        <v>44501</v>
      </c>
      <c r="D276" s="7" t="s">
        <v>28</v>
      </c>
      <c r="E276" s="8">
        <v>630</v>
      </c>
    </row>
    <row r="277" spans="1:5" ht="14.25" customHeight="1">
      <c r="A277" s="4">
        <v>2021</v>
      </c>
      <c r="B277" s="5" t="s">
        <v>17</v>
      </c>
      <c r="C277" s="6">
        <v>44531</v>
      </c>
      <c r="D277" s="7" t="s">
        <v>28</v>
      </c>
      <c r="E277" s="8">
        <v>1000</v>
      </c>
    </row>
    <row r="278" spans="1:5" ht="14.25" customHeight="1">
      <c r="A278" s="4">
        <v>2022</v>
      </c>
      <c r="B278" s="5" t="s">
        <v>5</v>
      </c>
      <c r="C278" s="6">
        <v>44562</v>
      </c>
      <c r="D278" s="7" t="s">
        <v>28</v>
      </c>
      <c r="E278" s="8">
        <v>1065</v>
      </c>
    </row>
    <row r="279" spans="1:5" ht="14.25" customHeight="1">
      <c r="A279" s="4">
        <v>2022</v>
      </c>
      <c r="B279" s="5" t="s">
        <v>7</v>
      </c>
      <c r="C279" s="6">
        <v>44593</v>
      </c>
      <c r="D279" s="7" t="s">
        <v>28</v>
      </c>
      <c r="E279" s="8">
        <v>736</v>
      </c>
    </row>
    <row r="280" spans="1:5" ht="14.25" customHeight="1">
      <c r="A280" s="4">
        <v>2022</v>
      </c>
      <c r="B280" s="5" t="s">
        <v>8</v>
      </c>
      <c r="C280" s="6">
        <v>44621</v>
      </c>
      <c r="D280" s="7" t="s">
        <v>28</v>
      </c>
      <c r="E280" s="8">
        <v>1437</v>
      </c>
    </row>
    <row r="281" spans="1:5" ht="14.25" customHeight="1">
      <c r="A281" s="4">
        <v>2022</v>
      </c>
      <c r="B281" s="5" t="s">
        <v>9</v>
      </c>
      <c r="C281" s="6">
        <v>44652</v>
      </c>
      <c r="D281" s="7" t="s">
        <v>28</v>
      </c>
      <c r="E281" s="8">
        <v>1155</v>
      </c>
    </row>
    <row r="282" spans="1:5" ht="14.25" customHeight="1">
      <c r="A282" s="4">
        <v>2022</v>
      </c>
      <c r="B282" s="5" t="s">
        <v>10</v>
      </c>
      <c r="C282" s="6">
        <v>44682</v>
      </c>
      <c r="D282" s="7" t="s">
        <v>28</v>
      </c>
      <c r="E282" s="8">
        <v>948</v>
      </c>
    </row>
    <row r="283" spans="1:5" ht="14.25" customHeight="1">
      <c r="A283" s="4">
        <v>2022</v>
      </c>
      <c r="B283" s="5" t="s">
        <v>11</v>
      </c>
      <c r="C283" s="6">
        <v>44713</v>
      </c>
      <c r="D283" s="7" t="s">
        <v>28</v>
      </c>
      <c r="E283" s="8">
        <v>1590</v>
      </c>
    </row>
    <row r="284" spans="1:5" ht="14.25" customHeight="1">
      <c r="A284" s="4">
        <v>2022</v>
      </c>
      <c r="B284" s="5" t="s">
        <v>12</v>
      </c>
      <c r="C284" s="6">
        <v>44743</v>
      </c>
      <c r="D284" s="7" t="s">
        <v>28</v>
      </c>
      <c r="E284" s="8">
        <v>1222</v>
      </c>
    </row>
    <row r="285" spans="1:5" ht="14.25" customHeight="1">
      <c r="A285" s="4">
        <v>2022</v>
      </c>
      <c r="B285" s="5" t="s">
        <v>13</v>
      </c>
      <c r="C285" s="6">
        <v>44774</v>
      </c>
      <c r="D285" s="7" t="s">
        <v>28</v>
      </c>
      <c r="E285" s="8">
        <v>1200</v>
      </c>
    </row>
    <row r="286" spans="1:5" ht="14.25" customHeight="1">
      <c r="A286" s="4">
        <v>2022</v>
      </c>
      <c r="B286" s="5" t="s">
        <v>14</v>
      </c>
      <c r="C286" s="6">
        <v>44805</v>
      </c>
      <c r="D286" s="7" t="s">
        <v>28</v>
      </c>
      <c r="E286" s="8">
        <v>1000</v>
      </c>
    </row>
    <row r="287" spans="1:5" ht="14.25" customHeight="1">
      <c r="A287" s="4">
        <v>2022</v>
      </c>
      <c r="B287" s="5" t="s">
        <v>15</v>
      </c>
      <c r="C287" s="6">
        <v>44835</v>
      </c>
      <c r="D287" s="7" t="s">
        <v>28</v>
      </c>
      <c r="E287" s="8">
        <v>1234</v>
      </c>
    </row>
    <row r="288" spans="1:5" ht="14.25" customHeight="1">
      <c r="A288" s="4">
        <v>2022</v>
      </c>
      <c r="B288" s="5" t="s">
        <v>16</v>
      </c>
      <c r="C288" s="6">
        <v>44866</v>
      </c>
      <c r="D288" s="7" t="s">
        <v>28</v>
      </c>
      <c r="E288" s="8">
        <v>1747</v>
      </c>
    </row>
    <row r="289" spans="1:5" ht="14.25" customHeight="1">
      <c r="A289" s="4">
        <v>2022</v>
      </c>
      <c r="B289" s="5" t="s">
        <v>17</v>
      </c>
      <c r="C289" s="6">
        <v>44896</v>
      </c>
      <c r="D289" s="7" t="s">
        <v>28</v>
      </c>
      <c r="E289" s="8">
        <v>1922</v>
      </c>
    </row>
    <row r="290" spans="1:5" ht="14.25" customHeight="1">
      <c r="A290" s="4">
        <v>2021</v>
      </c>
      <c r="B290" s="5" t="s">
        <v>5</v>
      </c>
      <c r="C290" s="6">
        <v>44197</v>
      </c>
      <c r="D290" s="7" t="s">
        <v>29</v>
      </c>
      <c r="E290" s="8">
        <v>910</v>
      </c>
    </row>
    <row r="291" spans="1:5" ht="14.25" customHeight="1">
      <c r="A291" s="4">
        <v>2021</v>
      </c>
      <c r="B291" s="5" t="s">
        <v>7</v>
      </c>
      <c r="C291" s="6">
        <v>44228</v>
      </c>
      <c r="D291" s="7" t="s">
        <v>29</v>
      </c>
      <c r="E291" s="8">
        <v>488</v>
      </c>
    </row>
    <row r="292" spans="1:5" ht="14.25" customHeight="1">
      <c r="A292" s="4">
        <v>2021</v>
      </c>
      <c r="B292" s="5" t="s">
        <v>8</v>
      </c>
      <c r="C292" s="6">
        <v>44256</v>
      </c>
      <c r="D292" s="7" t="s">
        <v>29</v>
      </c>
      <c r="E292" s="8">
        <v>701</v>
      </c>
    </row>
    <row r="293" spans="1:5" ht="14.25" customHeight="1">
      <c r="A293" s="4">
        <v>2021</v>
      </c>
      <c r="B293" s="5" t="s">
        <v>9</v>
      </c>
      <c r="C293" s="6">
        <v>44287</v>
      </c>
      <c r="D293" s="7" t="s">
        <v>29</v>
      </c>
      <c r="E293" s="8">
        <v>937</v>
      </c>
    </row>
    <row r="294" spans="1:5" ht="14.25" customHeight="1">
      <c r="A294" s="4">
        <v>2021</v>
      </c>
      <c r="B294" s="5" t="s">
        <v>10</v>
      </c>
      <c r="C294" s="6">
        <v>44317</v>
      </c>
      <c r="D294" s="7" t="s">
        <v>29</v>
      </c>
      <c r="E294" s="8">
        <v>952</v>
      </c>
    </row>
    <row r="295" spans="1:5" ht="14.25" customHeight="1">
      <c r="A295" s="4">
        <v>2021</v>
      </c>
      <c r="B295" s="5" t="s">
        <v>11</v>
      </c>
      <c r="C295" s="6">
        <v>44348</v>
      </c>
      <c r="D295" s="7" t="s">
        <v>29</v>
      </c>
      <c r="E295" s="8">
        <v>980</v>
      </c>
    </row>
    <row r="296" spans="1:5" ht="14.25" customHeight="1">
      <c r="A296" s="4">
        <v>2021</v>
      </c>
      <c r="B296" s="5" t="s">
        <v>12</v>
      </c>
      <c r="C296" s="6">
        <v>44378</v>
      </c>
      <c r="D296" s="7" t="s">
        <v>29</v>
      </c>
      <c r="E296" s="8">
        <v>1061</v>
      </c>
    </row>
    <row r="297" spans="1:5" ht="14.25" customHeight="1">
      <c r="A297" s="4">
        <v>2021</v>
      </c>
      <c r="B297" s="5" t="s">
        <v>13</v>
      </c>
      <c r="C297" s="6">
        <v>44409</v>
      </c>
      <c r="D297" s="7" t="s">
        <v>29</v>
      </c>
      <c r="E297" s="8">
        <v>1314</v>
      </c>
    </row>
    <row r="298" spans="1:5" ht="14.25" customHeight="1">
      <c r="A298" s="4">
        <v>2021</v>
      </c>
      <c r="B298" s="5" t="s">
        <v>14</v>
      </c>
      <c r="C298" s="6">
        <v>44440</v>
      </c>
      <c r="D298" s="7" t="s">
        <v>29</v>
      </c>
      <c r="E298" s="8">
        <v>976</v>
      </c>
    </row>
    <row r="299" spans="1:5" ht="14.25" customHeight="1">
      <c r="A299" s="4">
        <v>2021</v>
      </c>
      <c r="B299" s="5" t="s">
        <v>15</v>
      </c>
      <c r="C299" s="6">
        <v>44470</v>
      </c>
      <c r="D299" s="7" t="s">
        <v>29</v>
      </c>
      <c r="E299" s="8">
        <v>907</v>
      </c>
    </row>
    <row r="300" spans="1:5" ht="14.25" customHeight="1">
      <c r="A300" s="4">
        <v>2021</v>
      </c>
      <c r="B300" s="5" t="s">
        <v>16</v>
      </c>
      <c r="C300" s="6">
        <v>44501</v>
      </c>
      <c r="D300" s="7" t="s">
        <v>29</v>
      </c>
      <c r="E300" s="8">
        <v>956</v>
      </c>
    </row>
    <row r="301" spans="1:5" ht="14.25" customHeight="1">
      <c r="A301" s="4">
        <v>2021</v>
      </c>
      <c r="B301" s="5" t="s">
        <v>17</v>
      </c>
      <c r="C301" s="6">
        <v>44531</v>
      </c>
      <c r="D301" s="7" t="s">
        <v>29</v>
      </c>
      <c r="E301" s="8">
        <v>1687</v>
      </c>
    </row>
    <row r="302" spans="1:5" ht="14.25" customHeight="1">
      <c r="A302" s="4">
        <v>2022</v>
      </c>
      <c r="B302" s="5" t="s">
        <v>5</v>
      </c>
      <c r="C302" s="6">
        <v>44562</v>
      </c>
      <c r="D302" s="7" t="s">
        <v>29</v>
      </c>
      <c r="E302" s="8">
        <v>1615</v>
      </c>
    </row>
    <row r="303" spans="1:5" ht="14.25" customHeight="1">
      <c r="A303" s="4">
        <v>2022</v>
      </c>
      <c r="B303" s="5" t="s">
        <v>7</v>
      </c>
      <c r="C303" s="6">
        <v>44593</v>
      </c>
      <c r="D303" s="7" t="s">
        <v>29</v>
      </c>
      <c r="E303" s="8">
        <v>1004</v>
      </c>
    </row>
    <row r="304" spans="1:5" ht="14.25" customHeight="1">
      <c r="A304" s="4">
        <v>2022</v>
      </c>
      <c r="B304" s="5" t="s">
        <v>8</v>
      </c>
      <c r="C304" s="6">
        <v>44621</v>
      </c>
      <c r="D304" s="7" t="s">
        <v>29</v>
      </c>
      <c r="E304" s="8">
        <v>1863</v>
      </c>
    </row>
    <row r="305" spans="1:5" ht="14.25" customHeight="1">
      <c r="A305" s="4">
        <v>2022</v>
      </c>
      <c r="B305" s="5" t="s">
        <v>9</v>
      </c>
      <c r="C305" s="6">
        <v>44652</v>
      </c>
      <c r="D305" s="7" t="s">
        <v>29</v>
      </c>
      <c r="E305" s="8">
        <v>1053</v>
      </c>
    </row>
    <row r="306" spans="1:5" ht="14.25" customHeight="1">
      <c r="A306" s="4">
        <v>2022</v>
      </c>
      <c r="B306" s="5" t="s">
        <v>10</v>
      </c>
      <c r="C306" s="6">
        <v>44682</v>
      </c>
      <c r="D306" s="7" t="s">
        <v>29</v>
      </c>
      <c r="E306" s="8">
        <v>2220</v>
      </c>
    </row>
    <row r="307" spans="1:5" ht="14.25" customHeight="1">
      <c r="A307" s="4">
        <v>2022</v>
      </c>
      <c r="B307" s="5" t="s">
        <v>11</v>
      </c>
      <c r="C307" s="6">
        <v>44713</v>
      </c>
      <c r="D307" s="7" t="s">
        <v>29</v>
      </c>
      <c r="E307" s="8">
        <v>2132</v>
      </c>
    </row>
    <row r="308" spans="1:5" ht="14.25" customHeight="1">
      <c r="A308" s="4">
        <v>2022</v>
      </c>
      <c r="B308" s="5" t="s">
        <v>12</v>
      </c>
      <c r="C308" s="6">
        <v>44743</v>
      </c>
      <c r="D308" s="7" t="s">
        <v>29</v>
      </c>
      <c r="E308" s="8">
        <v>2510</v>
      </c>
    </row>
    <row r="309" spans="1:5" ht="14.25" customHeight="1">
      <c r="A309" s="4">
        <v>2022</v>
      </c>
      <c r="B309" s="5" t="s">
        <v>13</v>
      </c>
      <c r="C309" s="6">
        <v>44774</v>
      </c>
      <c r="D309" s="7" t="s">
        <v>29</v>
      </c>
      <c r="E309" s="8">
        <v>2853</v>
      </c>
    </row>
    <row r="310" spans="1:5" ht="14.25" customHeight="1">
      <c r="A310" s="4">
        <v>2022</v>
      </c>
      <c r="B310" s="5" t="s">
        <v>14</v>
      </c>
      <c r="C310" s="6">
        <v>44805</v>
      </c>
      <c r="D310" s="7" t="s">
        <v>29</v>
      </c>
      <c r="E310" s="8">
        <v>3055</v>
      </c>
    </row>
    <row r="311" spans="1:5" ht="14.25" customHeight="1">
      <c r="A311" s="4">
        <v>2022</v>
      </c>
      <c r="B311" s="5" t="s">
        <v>15</v>
      </c>
      <c r="C311" s="6">
        <v>44835</v>
      </c>
      <c r="D311" s="7" t="s">
        <v>29</v>
      </c>
      <c r="E311" s="8">
        <v>1825</v>
      </c>
    </row>
    <row r="312" spans="1:5" ht="14.25" customHeight="1">
      <c r="A312" s="4">
        <v>2022</v>
      </c>
      <c r="B312" s="5" t="s">
        <v>16</v>
      </c>
      <c r="C312" s="6">
        <v>44866</v>
      </c>
      <c r="D312" s="7" t="s">
        <v>29</v>
      </c>
      <c r="E312" s="8">
        <v>3383</v>
      </c>
    </row>
    <row r="313" spans="1:5" ht="14.25" customHeight="1">
      <c r="A313" s="4">
        <v>2022</v>
      </c>
      <c r="B313" s="5" t="s">
        <v>17</v>
      </c>
      <c r="C313" s="6">
        <v>44896</v>
      </c>
      <c r="D313" s="7" t="s">
        <v>29</v>
      </c>
      <c r="E313" s="8">
        <v>3583</v>
      </c>
    </row>
    <row r="314" spans="1:5" ht="14.25" customHeight="1">
      <c r="A314" s="4">
        <v>2021</v>
      </c>
      <c r="B314" s="5" t="s">
        <v>5</v>
      </c>
      <c r="C314" s="6">
        <v>44197</v>
      </c>
      <c r="D314" s="7" t="s">
        <v>30</v>
      </c>
      <c r="E314" s="8">
        <v>257</v>
      </c>
    </row>
    <row r="315" spans="1:5" ht="14.25" customHeight="1">
      <c r="A315" s="4">
        <v>2021</v>
      </c>
      <c r="B315" s="5" t="s">
        <v>7</v>
      </c>
      <c r="C315" s="6">
        <v>44228</v>
      </c>
      <c r="D315" s="7" t="s">
        <v>30</v>
      </c>
      <c r="E315" s="8">
        <v>554</v>
      </c>
    </row>
    <row r="316" spans="1:5" ht="14.25" customHeight="1">
      <c r="A316" s="4">
        <v>2021</v>
      </c>
      <c r="B316" s="5" t="s">
        <v>8</v>
      </c>
      <c r="C316" s="6">
        <v>44256</v>
      </c>
      <c r="D316" s="7" t="s">
        <v>30</v>
      </c>
      <c r="E316" s="8">
        <v>735</v>
      </c>
    </row>
    <row r="317" spans="1:5" ht="14.25" customHeight="1">
      <c r="A317" s="4">
        <v>2021</v>
      </c>
      <c r="B317" s="5" t="s">
        <v>9</v>
      </c>
      <c r="C317" s="6">
        <v>44287</v>
      </c>
      <c r="D317" s="7" t="s">
        <v>30</v>
      </c>
      <c r="E317" s="8">
        <v>384</v>
      </c>
    </row>
    <row r="318" spans="1:5" ht="14.25" customHeight="1">
      <c r="A318" s="4">
        <v>2021</v>
      </c>
      <c r="B318" s="5" t="s">
        <v>10</v>
      </c>
      <c r="C318" s="6">
        <v>44317</v>
      </c>
      <c r="D318" s="7" t="s">
        <v>30</v>
      </c>
      <c r="E318" s="8">
        <v>675</v>
      </c>
    </row>
    <row r="319" spans="1:5" ht="14.25" customHeight="1">
      <c r="A319" s="4">
        <v>2021</v>
      </c>
      <c r="B319" s="5" t="s">
        <v>11</v>
      </c>
      <c r="C319" s="6">
        <v>44348</v>
      </c>
      <c r="D319" s="7" t="s">
        <v>30</v>
      </c>
      <c r="E319" s="8">
        <v>163</v>
      </c>
    </row>
    <row r="320" spans="1:5" ht="14.25" customHeight="1">
      <c r="A320" s="4">
        <v>2021</v>
      </c>
      <c r="B320" s="5" t="s">
        <v>12</v>
      </c>
      <c r="C320" s="6">
        <v>44378</v>
      </c>
      <c r="D320" s="7" t="s">
        <v>30</v>
      </c>
      <c r="E320" s="8">
        <v>451</v>
      </c>
    </row>
    <row r="321" spans="1:5" ht="14.25" customHeight="1">
      <c r="A321" s="4">
        <v>2021</v>
      </c>
      <c r="B321" s="5" t="s">
        <v>13</v>
      </c>
      <c r="C321" s="6">
        <v>44409</v>
      </c>
      <c r="D321" s="7" t="s">
        <v>30</v>
      </c>
      <c r="E321" s="8">
        <v>319</v>
      </c>
    </row>
    <row r="322" spans="1:5" ht="14.25" customHeight="1">
      <c r="A322" s="4">
        <v>2021</v>
      </c>
      <c r="B322" s="5" t="s">
        <v>14</v>
      </c>
      <c r="C322" s="6">
        <v>44440</v>
      </c>
      <c r="D322" s="7" t="s">
        <v>30</v>
      </c>
      <c r="E322" s="8">
        <v>251</v>
      </c>
    </row>
    <row r="323" spans="1:5" ht="14.25" customHeight="1">
      <c r="A323" s="4">
        <v>2021</v>
      </c>
      <c r="B323" s="5" t="s">
        <v>15</v>
      </c>
      <c r="C323" s="6">
        <v>44470</v>
      </c>
      <c r="D323" s="7" t="s">
        <v>30</v>
      </c>
      <c r="E323" s="8">
        <v>910</v>
      </c>
    </row>
    <row r="324" spans="1:5" ht="14.25" customHeight="1">
      <c r="A324" s="4">
        <v>2021</v>
      </c>
      <c r="B324" s="5" t="s">
        <v>16</v>
      </c>
      <c r="C324" s="6">
        <v>44501</v>
      </c>
      <c r="D324" s="7" t="s">
        <v>30</v>
      </c>
      <c r="E324" s="8">
        <v>544</v>
      </c>
    </row>
    <row r="325" spans="1:5" ht="14.25" customHeight="1">
      <c r="A325" s="4">
        <v>2021</v>
      </c>
      <c r="B325" s="5" t="s">
        <v>17</v>
      </c>
      <c r="C325" s="6">
        <v>44531</v>
      </c>
      <c r="D325" s="7" t="s">
        <v>30</v>
      </c>
      <c r="E325" s="8">
        <v>256</v>
      </c>
    </row>
    <row r="326" spans="1:5" ht="14.25" customHeight="1">
      <c r="A326" s="4">
        <v>2022</v>
      </c>
      <c r="B326" s="5" t="s">
        <v>5</v>
      </c>
      <c r="C326" s="6">
        <v>44562</v>
      </c>
      <c r="D326" s="7" t="s">
        <v>30</v>
      </c>
      <c r="E326" s="8">
        <v>562</v>
      </c>
    </row>
    <row r="327" spans="1:5" ht="14.25" customHeight="1">
      <c r="A327" s="4">
        <v>2022</v>
      </c>
      <c r="B327" s="5" t="s">
        <v>7</v>
      </c>
      <c r="C327" s="6">
        <v>44593</v>
      </c>
      <c r="D327" s="7" t="s">
        <v>30</v>
      </c>
      <c r="E327" s="8">
        <v>687</v>
      </c>
    </row>
    <row r="328" spans="1:5" ht="14.25" customHeight="1">
      <c r="A328" s="4">
        <v>2022</v>
      </c>
      <c r="B328" s="5" t="s">
        <v>8</v>
      </c>
      <c r="C328" s="6">
        <v>44621</v>
      </c>
      <c r="D328" s="7" t="s">
        <v>30</v>
      </c>
      <c r="E328" s="8">
        <v>370</v>
      </c>
    </row>
    <row r="329" spans="1:5" ht="14.25" customHeight="1">
      <c r="A329" s="4">
        <v>2022</v>
      </c>
      <c r="B329" s="5" t="s">
        <v>9</v>
      </c>
      <c r="C329" s="6">
        <v>44652</v>
      </c>
      <c r="D329" s="7" t="s">
        <v>30</v>
      </c>
      <c r="E329" s="8">
        <v>736</v>
      </c>
    </row>
    <row r="330" spans="1:5" ht="14.25" customHeight="1">
      <c r="A330" s="4">
        <v>2022</v>
      </c>
      <c r="B330" s="5" t="s">
        <v>10</v>
      </c>
      <c r="C330" s="6">
        <v>44682</v>
      </c>
      <c r="D330" s="7" t="s">
        <v>30</v>
      </c>
      <c r="E330" s="8">
        <v>551</v>
      </c>
    </row>
    <row r="331" spans="1:5" ht="14.25" customHeight="1">
      <c r="A331" s="4">
        <v>2022</v>
      </c>
      <c r="B331" s="5" t="s">
        <v>11</v>
      </c>
      <c r="C331" s="6">
        <v>44713</v>
      </c>
      <c r="D331" s="7" t="s">
        <v>30</v>
      </c>
      <c r="E331" s="8">
        <v>496</v>
      </c>
    </row>
    <row r="332" spans="1:5" ht="14.25" customHeight="1">
      <c r="A332" s="4">
        <v>2022</v>
      </c>
      <c r="B332" s="5" t="s">
        <v>12</v>
      </c>
      <c r="C332" s="6">
        <v>44743</v>
      </c>
      <c r="D332" s="7" t="s">
        <v>30</v>
      </c>
      <c r="E332" s="8">
        <v>861</v>
      </c>
    </row>
    <row r="333" spans="1:5" ht="14.25" customHeight="1">
      <c r="A333" s="4">
        <v>2022</v>
      </c>
      <c r="B333" s="5" t="s">
        <v>13</v>
      </c>
      <c r="C333" s="6">
        <v>44774</v>
      </c>
      <c r="D333" s="7" t="s">
        <v>30</v>
      </c>
      <c r="E333" s="8">
        <v>594</v>
      </c>
    </row>
    <row r="334" spans="1:5" ht="14.25" customHeight="1">
      <c r="A334" s="4">
        <v>2022</v>
      </c>
      <c r="B334" s="5" t="s">
        <v>14</v>
      </c>
      <c r="C334" s="6">
        <v>44805</v>
      </c>
      <c r="D334" s="7" t="s">
        <v>30</v>
      </c>
      <c r="E334" s="8">
        <v>1227</v>
      </c>
    </row>
    <row r="335" spans="1:5" ht="14.25" customHeight="1">
      <c r="A335" s="4">
        <v>2022</v>
      </c>
      <c r="B335" s="5" t="s">
        <v>15</v>
      </c>
      <c r="C335" s="6">
        <v>44835</v>
      </c>
      <c r="D335" s="7" t="s">
        <v>30</v>
      </c>
      <c r="E335" s="8">
        <v>991</v>
      </c>
    </row>
    <row r="336" spans="1:5" ht="14.25" customHeight="1">
      <c r="A336" s="4">
        <v>2022</v>
      </c>
      <c r="B336" s="5" t="s">
        <v>16</v>
      </c>
      <c r="C336" s="6">
        <v>44866</v>
      </c>
      <c r="D336" s="7" t="s">
        <v>30</v>
      </c>
      <c r="E336" s="8">
        <v>2299</v>
      </c>
    </row>
    <row r="337" spans="1:5" ht="14.25" customHeight="1">
      <c r="A337" s="4">
        <v>2022</v>
      </c>
      <c r="B337" s="5" t="s">
        <v>17</v>
      </c>
      <c r="C337" s="6">
        <v>44896</v>
      </c>
      <c r="D337" s="7" t="s">
        <v>30</v>
      </c>
      <c r="E337" s="8">
        <v>2096</v>
      </c>
    </row>
    <row r="338" spans="1:5" ht="14.25" customHeight="1">
      <c r="A338" s="4">
        <v>2021</v>
      </c>
      <c r="B338" s="5" t="s">
        <v>5</v>
      </c>
      <c r="C338" s="6">
        <v>44197</v>
      </c>
      <c r="D338" s="7" t="s">
        <v>31</v>
      </c>
      <c r="E338" s="8">
        <v>132</v>
      </c>
    </row>
    <row r="339" spans="1:5" ht="14.25" customHeight="1">
      <c r="A339" s="4">
        <v>2021</v>
      </c>
      <c r="B339" s="5" t="s">
        <v>7</v>
      </c>
      <c r="C339" s="6">
        <v>44228</v>
      </c>
      <c r="D339" s="7" t="s">
        <v>31</v>
      </c>
      <c r="E339" s="8">
        <v>184</v>
      </c>
    </row>
    <row r="340" spans="1:5" ht="14.25" customHeight="1">
      <c r="A340" s="4">
        <v>2021</v>
      </c>
      <c r="B340" s="5" t="s">
        <v>8</v>
      </c>
      <c r="C340" s="6">
        <v>44256</v>
      </c>
      <c r="D340" s="7" t="s">
        <v>31</v>
      </c>
      <c r="E340" s="8">
        <v>465</v>
      </c>
    </row>
    <row r="341" spans="1:5" ht="14.25" customHeight="1">
      <c r="A341" s="4">
        <v>2021</v>
      </c>
      <c r="B341" s="5" t="s">
        <v>9</v>
      </c>
      <c r="C341" s="6">
        <v>44287</v>
      </c>
      <c r="D341" s="7" t="s">
        <v>31</v>
      </c>
      <c r="E341" s="8">
        <v>343</v>
      </c>
    </row>
    <row r="342" spans="1:5" ht="14.25" customHeight="1">
      <c r="A342" s="4">
        <v>2021</v>
      </c>
      <c r="B342" s="5" t="s">
        <v>10</v>
      </c>
      <c r="C342" s="6">
        <v>44317</v>
      </c>
      <c r="D342" s="7" t="s">
        <v>31</v>
      </c>
      <c r="E342" s="8">
        <v>646</v>
      </c>
    </row>
    <row r="343" spans="1:5" ht="14.25" customHeight="1">
      <c r="A343" s="4">
        <v>2021</v>
      </c>
      <c r="B343" s="5" t="s">
        <v>11</v>
      </c>
      <c r="C343" s="6">
        <v>44348</v>
      </c>
      <c r="D343" s="7" t="s">
        <v>31</v>
      </c>
      <c r="E343" s="8">
        <v>615</v>
      </c>
    </row>
    <row r="344" spans="1:5" ht="14.25" customHeight="1">
      <c r="A344" s="4">
        <v>2021</v>
      </c>
      <c r="B344" s="5" t="s">
        <v>12</v>
      </c>
      <c r="C344" s="6">
        <v>44378</v>
      </c>
      <c r="D344" s="7" t="s">
        <v>31</v>
      </c>
      <c r="E344" s="8">
        <v>717</v>
      </c>
    </row>
    <row r="345" spans="1:5" ht="14.25" customHeight="1">
      <c r="A345" s="4">
        <v>2021</v>
      </c>
      <c r="B345" s="5" t="s">
        <v>13</v>
      </c>
      <c r="C345" s="6">
        <v>44409</v>
      </c>
      <c r="D345" s="7" t="s">
        <v>31</v>
      </c>
      <c r="E345" s="8">
        <v>672</v>
      </c>
    </row>
    <row r="346" spans="1:5" ht="14.25" customHeight="1">
      <c r="A346" s="4">
        <v>2021</v>
      </c>
      <c r="B346" s="5" t="s">
        <v>14</v>
      </c>
      <c r="C346" s="6">
        <v>44440</v>
      </c>
      <c r="D346" s="7" t="s">
        <v>31</v>
      </c>
      <c r="E346" s="8">
        <v>595</v>
      </c>
    </row>
    <row r="347" spans="1:5" ht="14.25" customHeight="1">
      <c r="A347" s="4">
        <v>2021</v>
      </c>
      <c r="B347" s="5" t="s">
        <v>15</v>
      </c>
      <c r="C347" s="6">
        <v>44470</v>
      </c>
      <c r="D347" s="7" t="s">
        <v>31</v>
      </c>
      <c r="E347" s="8">
        <v>878</v>
      </c>
    </row>
    <row r="348" spans="1:5" ht="14.25" customHeight="1">
      <c r="A348" s="4">
        <v>2021</v>
      </c>
      <c r="B348" s="5" t="s">
        <v>16</v>
      </c>
      <c r="C348" s="6">
        <v>44501</v>
      </c>
      <c r="D348" s="7" t="s">
        <v>31</v>
      </c>
      <c r="E348" s="8">
        <v>616</v>
      </c>
    </row>
    <row r="349" spans="1:5" ht="14.25" customHeight="1">
      <c r="A349" s="4">
        <v>2021</v>
      </c>
      <c r="B349" s="5" t="s">
        <v>17</v>
      </c>
      <c r="C349" s="6">
        <v>44531</v>
      </c>
      <c r="D349" s="7" t="s">
        <v>31</v>
      </c>
      <c r="E349" s="8">
        <v>594</v>
      </c>
    </row>
    <row r="350" spans="1:5" ht="14.25" customHeight="1">
      <c r="A350" s="4">
        <v>2022</v>
      </c>
      <c r="B350" s="5" t="s">
        <v>5</v>
      </c>
      <c r="C350" s="6">
        <v>44562</v>
      </c>
      <c r="D350" s="7" t="s">
        <v>31</v>
      </c>
      <c r="E350" s="8">
        <v>1270</v>
      </c>
    </row>
    <row r="351" spans="1:5" ht="14.25" customHeight="1">
      <c r="A351" s="4">
        <v>2022</v>
      </c>
      <c r="B351" s="5" t="s">
        <v>7</v>
      </c>
      <c r="C351" s="6">
        <v>44593</v>
      </c>
      <c r="D351" s="7" t="s">
        <v>31</v>
      </c>
      <c r="E351" s="8">
        <v>795</v>
      </c>
    </row>
    <row r="352" spans="1:5" ht="14.25" customHeight="1">
      <c r="A352" s="4">
        <v>2022</v>
      </c>
      <c r="B352" s="5" t="s">
        <v>8</v>
      </c>
      <c r="C352" s="6">
        <v>44621</v>
      </c>
      <c r="D352" s="7" t="s">
        <v>31</v>
      </c>
      <c r="E352" s="8">
        <v>593</v>
      </c>
    </row>
    <row r="353" spans="1:5" ht="14.25" customHeight="1">
      <c r="A353" s="4">
        <v>2022</v>
      </c>
      <c r="B353" s="5" t="s">
        <v>9</v>
      </c>
      <c r="C353" s="6">
        <v>44652</v>
      </c>
      <c r="D353" s="7" t="s">
        <v>31</v>
      </c>
      <c r="E353" s="8">
        <v>571</v>
      </c>
    </row>
    <row r="354" spans="1:5" ht="14.25" customHeight="1">
      <c r="A354" s="4">
        <v>2022</v>
      </c>
      <c r="B354" s="5" t="s">
        <v>10</v>
      </c>
      <c r="C354" s="6">
        <v>44682</v>
      </c>
      <c r="D354" s="7" t="s">
        <v>31</v>
      </c>
      <c r="E354" s="8">
        <v>1286</v>
      </c>
    </row>
    <row r="355" spans="1:5" ht="14.25" customHeight="1">
      <c r="A355" s="4">
        <v>2022</v>
      </c>
      <c r="B355" s="5" t="s">
        <v>11</v>
      </c>
      <c r="C355" s="6">
        <v>44713</v>
      </c>
      <c r="D355" s="7" t="s">
        <v>31</v>
      </c>
      <c r="E355" s="8">
        <v>1804</v>
      </c>
    </row>
    <row r="356" spans="1:5" ht="14.25" customHeight="1">
      <c r="A356" s="4">
        <v>2022</v>
      </c>
      <c r="B356" s="5" t="s">
        <v>12</v>
      </c>
      <c r="C356" s="6">
        <v>44743</v>
      </c>
      <c r="D356" s="7" t="s">
        <v>31</v>
      </c>
      <c r="E356" s="8">
        <v>1618</v>
      </c>
    </row>
    <row r="357" spans="1:5" ht="14.25" customHeight="1">
      <c r="A357" s="4">
        <v>2022</v>
      </c>
      <c r="B357" s="5" t="s">
        <v>13</v>
      </c>
      <c r="C357" s="6">
        <v>44774</v>
      </c>
      <c r="D357" s="7" t="s">
        <v>31</v>
      </c>
      <c r="E357" s="8">
        <v>570</v>
      </c>
    </row>
    <row r="358" spans="1:5" ht="14.25" customHeight="1">
      <c r="A358" s="4">
        <v>2022</v>
      </c>
      <c r="B358" s="5" t="s">
        <v>14</v>
      </c>
      <c r="C358" s="6">
        <v>44805</v>
      </c>
      <c r="D358" s="7" t="s">
        <v>31</v>
      </c>
      <c r="E358" s="8">
        <v>1469</v>
      </c>
    </row>
    <row r="359" spans="1:5" ht="14.25" customHeight="1">
      <c r="A359" s="4">
        <v>2022</v>
      </c>
      <c r="B359" s="5" t="s">
        <v>15</v>
      </c>
      <c r="C359" s="6">
        <v>44835</v>
      </c>
      <c r="D359" s="7" t="s">
        <v>31</v>
      </c>
      <c r="E359" s="8">
        <v>1092</v>
      </c>
    </row>
    <row r="360" spans="1:5" ht="14.25" customHeight="1">
      <c r="A360" s="4">
        <v>2022</v>
      </c>
      <c r="B360" s="5" t="s">
        <v>16</v>
      </c>
      <c r="C360" s="6">
        <v>44866</v>
      </c>
      <c r="D360" s="7" t="s">
        <v>31</v>
      </c>
      <c r="E360" s="8">
        <v>2322</v>
      </c>
    </row>
    <row r="361" spans="1:5" ht="14.25" customHeight="1">
      <c r="A361" s="9">
        <v>2022</v>
      </c>
      <c r="B361" s="10" t="s">
        <v>17</v>
      </c>
      <c r="C361" s="11">
        <v>44896</v>
      </c>
      <c r="D361" s="12" t="s">
        <v>31</v>
      </c>
      <c r="E361" s="13">
        <v>1364</v>
      </c>
    </row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2578125" defaultRowHeight="15" customHeight="1"/>
  <cols>
    <col min="1" max="1" width="47.28515625" customWidth="1"/>
    <col min="2" max="3" width="24.140625" customWidth="1"/>
    <col min="4" max="5" width="26.28515625" customWidth="1"/>
    <col min="6" max="6" width="11.5703125" customWidth="1"/>
    <col min="7" max="26" width="8.7109375" customWidth="1"/>
  </cols>
  <sheetData>
    <row r="1" spans="1:6" ht="14.25" customHeight="1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</row>
    <row r="2" spans="1:6" ht="14.25" customHeight="1">
      <c r="A2" s="14" t="s">
        <v>27</v>
      </c>
      <c r="B2" s="14" t="s">
        <v>38</v>
      </c>
      <c r="C2" s="14">
        <v>200</v>
      </c>
      <c r="D2" s="14">
        <v>480</v>
      </c>
      <c r="E2" s="14">
        <f>'Price Sheet'!$D2*1.2</f>
        <v>576</v>
      </c>
      <c r="F2" s="14" t="s">
        <v>39</v>
      </c>
    </row>
    <row r="3" spans="1:6" ht="14.25" customHeight="1">
      <c r="A3" s="14" t="s">
        <v>22</v>
      </c>
      <c r="B3" s="14" t="s">
        <v>40</v>
      </c>
      <c r="C3" s="14">
        <v>200</v>
      </c>
      <c r="D3" s="14">
        <v>450</v>
      </c>
      <c r="E3" s="14">
        <f>'Price Sheet'!$D3*1.2</f>
        <v>540</v>
      </c>
      <c r="F3" s="14" t="s">
        <v>39</v>
      </c>
    </row>
    <row r="4" spans="1:6" ht="14.25" customHeight="1">
      <c r="A4" s="14" t="s">
        <v>6</v>
      </c>
      <c r="B4" s="14" t="s">
        <v>40</v>
      </c>
      <c r="C4" s="14">
        <v>500</v>
      </c>
      <c r="D4" s="14">
        <v>795</v>
      </c>
      <c r="E4" s="14">
        <f>'Price Sheet'!$D4*1.2</f>
        <v>954</v>
      </c>
      <c r="F4" s="14" t="s">
        <v>39</v>
      </c>
    </row>
    <row r="5" spans="1:6" ht="14.25" customHeight="1">
      <c r="A5" s="14" t="s">
        <v>30</v>
      </c>
      <c r="B5" s="14" t="s">
        <v>38</v>
      </c>
      <c r="C5" s="14">
        <v>200</v>
      </c>
      <c r="D5" s="14">
        <v>555</v>
      </c>
      <c r="E5" s="14">
        <f>'Price Sheet'!$D5*1.2</f>
        <v>666</v>
      </c>
      <c r="F5" s="14" t="s">
        <v>41</v>
      </c>
    </row>
    <row r="6" spans="1:6" ht="14.25" customHeight="1">
      <c r="A6" s="14" t="s">
        <v>25</v>
      </c>
      <c r="B6" s="14" t="s">
        <v>40</v>
      </c>
      <c r="C6" s="14">
        <v>185</v>
      </c>
      <c r="D6" s="14">
        <v>600</v>
      </c>
      <c r="E6" s="14">
        <f>'Price Sheet'!$D6*1.2</f>
        <v>720</v>
      </c>
      <c r="F6" s="14" t="s">
        <v>41</v>
      </c>
    </row>
    <row r="7" spans="1:6" ht="14.25" customHeight="1">
      <c r="A7" s="14" t="s">
        <v>20</v>
      </c>
      <c r="B7" s="14" t="s">
        <v>40</v>
      </c>
      <c r="C7" s="14">
        <v>500</v>
      </c>
      <c r="D7" s="14">
        <v>1050</v>
      </c>
      <c r="E7" s="14">
        <f>'Price Sheet'!$D7*1.2</f>
        <v>1260</v>
      </c>
      <c r="F7" s="14" t="s">
        <v>41</v>
      </c>
    </row>
    <row r="8" spans="1:6" ht="14.25" customHeight="1">
      <c r="A8" s="14" t="s">
        <v>31</v>
      </c>
      <c r="B8" s="14" t="s">
        <v>38</v>
      </c>
      <c r="C8" s="14">
        <v>200</v>
      </c>
      <c r="D8" s="14">
        <v>600</v>
      </c>
      <c r="E8" s="14">
        <f>'Price Sheet'!$D8*1.2</f>
        <v>720</v>
      </c>
      <c r="F8" s="14" t="s">
        <v>42</v>
      </c>
    </row>
    <row r="9" spans="1:6" ht="14.25" customHeight="1">
      <c r="A9" s="14" t="s">
        <v>26</v>
      </c>
      <c r="B9" s="14" t="s">
        <v>40</v>
      </c>
      <c r="C9" s="14">
        <v>190</v>
      </c>
      <c r="D9" s="14">
        <v>725</v>
      </c>
      <c r="E9" s="14">
        <f>'Price Sheet'!$D9*1.2</f>
        <v>870</v>
      </c>
      <c r="F9" s="14" t="s">
        <v>42</v>
      </c>
    </row>
    <row r="10" spans="1:6" ht="14.25" customHeight="1">
      <c r="A10" s="14" t="s">
        <v>21</v>
      </c>
      <c r="B10" s="14" t="s">
        <v>40</v>
      </c>
      <c r="C10" s="14">
        <v>510</v>
      </c>
      <c r="D10" s="14">
        <v>1200</v>
      </c>
      <c r="E10" s="14">
        <f>'Price Sheet'!$D10*1.2</f>
        <v>1440</v>
      </c>
      <c r="F10" s="14" t="s">
        <v>42</v>
      </c>
    </row>
    <row r="11" spans="1:6" ht="14.25" customHeight="1">
      <c r="A11" s="14" t="s">
        <v>28</v>
      </c>
      <c r="B11" s="14" t="s">
        <v>38</v>
      </c>
      <c r="C11" s="14">
        <v>200</v>
      </c>
      <c r="D11" s="14">
        <v>490</v>
      </c>
      <c r="E11" s="14">
        <f>'Price Sheet'!$D11*1.2</f>
        <v>588</v>
      </c>
      <c r="F11" s="14" t="s">
        <v>39</v>
      </c>
    </row>
    <row r="12" spans="1:6" ht="14.25" customHeight="1">
      <c r="A12" s="14" t="s">
        <v>23</v>
      </c>
      <c r="B12" s="14" t="s">
        <v>40</v>
      </c>
      <c r="C12" s="14">
        <v>175</v>
      </c>
      <c r="D12" s="14">
        <v>500</v>
      </c>
      <c r="E12" s="14">
        <f>'Price Sheet'!$D12*1.2</f>
        <v>600</v>
      </c>
      <c r="F12" s="14" t="s">
        <v>39</v>
      </c>
    </row>
    <row r="13" spans="1:6" ht="14.25" customHeight="1">
      <c r="A13" s="14" t="s">
        <v>18</v>
      </c>
      <c r="B13" s="14" t="s">
        <v>40</v>
      </c>
      <c r="C13" s="14">
        <v>450</v>
      </c>
      <c r="D13" s="14">
        <v>800</v>
      </c>
      <c r="E13" s="14">
        <f>'Price Sheet'!$D13*1.2</f>
        <v>960</v>
      </c>
      <c r="F13" s="14" t="s">
        <v>39</v>
      </c>
    </row>
    <row r="14" spans="1:6" ht="14.25" customHeight="1">
      <c r="A14" s="14" t="s">
        <v>29</v>
      </c>
      <c r="B14" s="14" t="s">
        <v>38</v>
      </c>
      <c r="C14" s="14">
        <v>200</v>
      </c>
      <c r="D14" s="14">
        <v>500</v>
      </c>
      <c r="E14" s="14">
        <f>'Price Sheet'!$D14*1.2</f>
        <v>600</v>
      </c>
      <c r="F14" s="14" t="s">
        <v>43</v>
      </c>
    </row>
    <row r="15" spans="1:6" ht="14.25" customHeight="1">
      <c r="A15" s="14" t="s">
        <v>24</v>
      </c>
      <c r="B15" s="14" t="s">
        <v>40</v>
      </c>
      <c r="C15" s="14">
        <v>185</v>
      </c>
      <c r="D15" s="14">
        <v>510</v>
      </c>
      <c r="E15" s="14">
        <f>'Price Sheet'!$D15*1.2</f>
        <v>612</v>
      </c>
      <c r="F15" s="14" t="s">
        <v>43</v>
      </c>
    </row>
    <row r="16" spans="1:6" ht="14.25" customHeight="1">
      <c r="A16" s="14" t="s">
        <v>19</v>
      </c>
      <c r="B16" s="14" t="s">
        <v>40</v>
      </c>
      <c r="C16" s="14">
        <v>486</v>
      </c>
      <c r="D16" s="14">
        <v>950</v>
      </c>
      <c r="E16" s="14">
        <f>'Price Sheet'!$D16*1.2</f>
        <v>1140</v>
      </c>
      <c r="F16" s="14" t="s">
        <v>43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/>
  <cols>
    <col min="1" max="2" width="8.7109375" customWidth="1"/>
    <col min="3" max="3" width="15.7109375" customWidth="1"/>
    <col min="4" max="4" width="29.7109375" customWidth="1"/>
    <col min="5" max="26" width="8.7109375" customWidth="1"/>
  </cols>
  <sheetData>
    <row r="1" spans="1:8" ht="14.25" customHeight="1">
      <c r="A1" s="14" t="s">
        <v>44</v>
      </c>
      <c r="B1" s="14" t="s">
        <v>34</v>
      </c>
      <c r="C1" s="14" t="s">
        <v>45</v>
      </c>
      <c r="D1" s="14" t="s">
        <v>32</v>
      </c>
      <c r="E1" s="14" t="s">
        <v>35</v>
      </c>
      <c r="F1" s="14" t="s">
        <v>46</v>
      </c>
      <c r="G1" s="14" t="s">
        <v>47</v>
      </c>
      <c r="H1" s="14" t="s">
        <v>37</v>
      </c>
    </row>
    <row r="2" spans="1:8" ht="14.25" customHeight="1">
      <c r="A2" s="15" t="s">
        <v>48</v>
      </c>
      <c r="B2" s="14" t="s">
        <v>49</v>
      </c>
      <c r="C2" s="14" t="s">
        <v>50</v>
      </c>
      <c r="D2" s="16" t="str">
        <f>CONCATENATE('All products'!$A2," ",'All products'!$C2," ",'All products'!$G2," ",'All products'!$B2)</f>
        <v>Dovelle Soft and Smooth Shampoo 500 ml</v>
      </c>
      <c r="E2" s="14">
        <v>795</v>
      </c>
      <c r="F2" s="14">
        <f>'All products'!$E2*1.2</f>
        <v>954</v>
      </c>
      <c r="G2" s="14" t="s">
        <v>40</v>
      </c>
      <c r="H2" s="14" t="s">
        <v>39</v>
      </c>
    </row>
    <row r="3" spans="1:8" ht="14.25" customHeight="1">
      <c r="A3" s="15" t="s">
        <v>51</v>
      </c>
      <c r="B3" s="14" t="s">
        <v>52</v>
      </c>
      <c r="C3" s="14" t="s">
        <v>53</v>
      </c>
      <c r="D3" s="16" t="str">
        <f>CONCATENATE('All products'!$A3," ",'All products'!$C3," ",'All products'!$G3," ",'All products'!$B3)</f>
        <v>Pantel Anti Dandruff Shampoo 450 ml</v>
      </c>
      <c r="E3" s="14">
        <v>800</v>
      </c>
      <c r="F3" s="14">
        <f>'All products'!$E3*1.2</f>
        <v>960</v>
      </c>
      <c r="G3" s="14" t="s">
        <v>40</v>
      </c>
      <c r="H3" s="14" t="s">
        <v>39</v>
      </c>
    </row>
    <row r="4" spans="1:8" ht="14.25" customHeight="1">
      <c r="A4" s="15" t="s">
        <v>54</v>
      </c>
      <c r="B4" s="14" t="s">
        <v>55</v>
      </c>
      <c r="C4" s="14" t="s">
        <v>53</v>
      </c>
      <c r="D4" s="16" t="str">
        <f>CONCATENATE('All products'!$A4," ",'All products'!$C4," ",'All products'!$G4," ",'All products'!$B4)</f>
        <v>Peak &amp; Shoulders Anti Dandruff Shampoo 486 ml</v>
      </c>
      <c r="E4" s="14">
        <v>950</v>
      </c>
      <c r="F4" s="14">
        <f>'All products'!$E4*1.2</f>
        <v>1140</v>
      </c>
      <c r="G4" s="14" t="s">
        <v>40</v>
      </c>
      <c r="H4" s="14" t="s">
        <v>43</v>
      </c>
    </row>
    <row r="5" spans="1:8" ht="14.25" customHeight="1">
      <c r="A5" s="15" t="s">
        <v>56</v>
      </c>
      <c r="B5" s="14" t="s">
        <v>49</v>
      </c>
      <c r="C5" s="14" t="s">
        <v>57</v>
      </c>
      <c r="D5" s="16" t="str">
        <f>CONCATENATE('All products'!$A5," ",'All products'!$C5," ",'All products'!$G5," ",'All products'!$B5)</f>
        <v>Garnel Silky Smooth Shampoo 500 ml</v>
      </c>
      <c r="E5" s="14">
        <v>1050</v>
      </c>
      <c r="F5" s="14">
        <f>'All products'!$E5*1.2</f>
        <v>1260</v>
      </c>
      <c r="G5" s="14" t="s">
        <v>40</v>
      </c>
      <c r="H5" s="14" t="s">
        <v>41</v>
      </c>
    </row>
    <row r="6" spans="1:8" ht="14.25" customHeight="1">
      <c r="A6" s="17" t="s">
        <v>58</v>
      </c>
      <c r="B6" s="14" t="s">
        <v>59</v>
      </c>
      <c r="C6" s="14" t="s">
        <v>60</v>
      </c>
      <c r="D6" s="16" t="str">
        <f>CONCATENATE('All products'!$A6," ",'All products'!$C6," ",'All products'!$G6," ",'All products'!$B6)</f>
        <v>Herbaluxe Long and Strong Shampoo 510 ml</v>
      </c>
      <c r="E6" s="14">
        <v>1200</v>
      </c>
      <c r="F6" s="14">
        <f>'All products'!$E6*1.2</f>
        <v>1440</v>
      </c>
      <c r="G6" s="14" t="s">
        <v>40</v>
      </c>
      <c r="H6" s="14" t="s">
        <v>42</v>
      </c>
    </row>
    <row r="7" spans="1:8" ht="14.25" customHeight="1">
      <c r="A7" s="15" t="s">
        <v>48</v>
      </c>
      <c r="B7" s="14" t="s">
        <v>61</v>
      </c>
      <c r="C7" s="14" t="s">
        <v>50</v>
      </c>
      <c r="D7" s="16" t="str">
        <f>CONCATENATE('All products'!$A7," ",'All products'!$C7," ",'All products'!$G7," ",'All products'!$B7)</f>
        <v>Dovelle Soft and Smooth Shampoo 200 ml</v>
      </c>
      <c r="E7" s="14">
        <v>450</v>
      </c>
      <c r="F7" s="14">
        <f>'All products'!$E7*1.5</f>
        <v>675</v>
      </c>
      <c r="G7" s="14" t="s">
        <v>40</v>
      </c>
      <c r="H7" s="14" t="s">
        <v>39</v>
      </c>
    </row>
    <row r="8" spans="1:8" ht="14.25" customHeight="1">
      <c r="A8" s="15" t="s">
        <v>51</v>
      </c>
      <c r="B8" s="14" t="s">
        <v>62</v>
      </c>
      <c r="C8" s="14" t="s">
        <v>53</v>
      </c>
      <c r="D8" s="16" t="str">
        <f>CONCATENATE('All products'!$A8," ",'All products'!$C8," ",'All products'!$G8," ",'All products'!$B8)</f>
        <v>Pantel Anti Dandruff Shampoo 175 ml</v>
      </c>
      <c r="E8" s="14">
        <v>500</v>
      </c>
      <c r="F8" s="14">
        <f>'All products'!$E8*1.5</f>
        <v>750</v>
      </c>
      <c r="G8" s="14" t="s">
        <v>40</v>
      </c>
      <c r="H8" s="14" t="s">
        <v>39</v>
      </c>
    </row>
    <row r="9" spans="1:8" ht="14.25" customHeight="1">
      <c r="A9" s="15" t="s">
        <v>54</v>
      </c>
      <c r="B9" s="14" t="s">
        <v>63</v>
      </c>
      <c r="C9" s="14" t="s">
        <v>53</v>
      </c>
      <c r="D9" s="16" t="str">
        <f>CONCATENATE('All products'!$A9," ",'All products'!$C9," ",'All products'!$G9," ",'All products'!$B9)</f>
        <v>Peak &amp; Shoulders Anti Dandruff Shampoo 185 ml</v>
      </c>
      <c r="E9" s="14">
        <v>510</v>
      </c>
      <c r="F9" s="14">
        <f>'All products'!$E9*1.5</f>
        <v>765</v>
      </c>
      <c r="G9" s="14" t="s">
        <v>40</v>
      </c>
      <c r="H9" s="14" t="s">
        <v>43</v>
      </c>
    </row>
    <row r="10" spans="1:8" ht="14.25" customHeight="1">
      <c r="A10" s="15" t="s">
        <v>56</v>
      </c>
      <c r="B10" s="14" t="s">
        <v>63</v>
      </c>
      <c r="C10" s="14" t="s">
        <v>57</v>
      </c>
      <c r="D10" s="16" t="str">
        <f>CONCATENATE('All products'!$A10," ",'All products'!$C10," ",'All products'!$G10," ",'All products'!$B10)</f>
        <v>Garnel Silky Smooth Shampoo 185 ml</v>
      </c>
      <c r="E10" s="14">
        <v>600</v>
      </c>
      <c r="F10" s="14">
        <f>'All products'!$E10*1.5</f>
        <v>900</v>
      </c>
      <c r="G10" s="14" t="s">
        <v>40</v>
      </c>
      <c r="H10" s="14" t="s">
        <v>41</v>
      </c>
    </row>
    <row r="11" spans="1:8" ht="14.25" customHeight="1">
      <c r="A11" s="18" t="s">
        <v>58</v>
      </c>
      <c r="B11" s="14" t="s">
        <v>64</v>
      </c>
      <c r="C11" s="14" t="s">
        <v>60</v>
      </c>
      <c r="D11" s="16" t="str">
        <f>CONCATENATE('All products'!$A11," ",'All products'!$C11," ",'All products'!$G11," ",'All products'!$B11)</f>
        <v>Herbaluxe Long and Strong Shampoo 190 ml</v>
      </c>
      <c r="E11" s="14">
        <v>725</v>
      </c>
      <c r="F11" s="14">
        <f>'All products'!$E11*1.5</f>
        <v>1087.5</v>
      </c>
      <c r="G11" s="14" t="s">
        <v>40</v>
      </c>
      <c r="H11" s="14" t="s">
        <v>42</v>
      </c>
    </row>
    <row r="12" spans="1:8" ht="14.25" customHeight="1">
      <c r="A12" s="15" t="s">
        <v>48</v>
      </c>
      <c r="B12" s="14" t="s">
        <v>61</v>
      </c>
      <c r="C12" s="14" t="s">
        <v>50</v>
      </c>
      <c r="D12" s="16" t="str">
        <f>CONCATENATE('All products'!$A12," ",'All products'!$C12," ",'All products'!$G12," ",'All products'!$B12)</f>
        <v>Dovelle Soft and Smooth Conditioner 200 ml</v>
      </c>
      <c r="E12" s="14">
        <v>480</v>
      </c>
      <c r="F12" s="14">
        <f>'All products'!$E12*1.2</f>
        <v>576</v>
      </c>
      <c r="G12" s="14" t="s">
        <v>38</v>
      </c>
      <c r="H12" s="14" t="s">
        <v>39</v>
      </c>
    </row>
    <row r="13" spans="1:8" ht="14.25" customHeight="1">
      <c r="A13" s="15" t="s">
        <v>51</v>
      </c>
      <c r="B13" s="14" t="s">
        <v>61</v>
      </c>
      <c r="C13" s="14" t="s">
        <v>53</v>
      </c>
      <c r="D13" s="16" t="str">
        <f>CONCATENATE('All products'!$A13," ",'All products'!$C13," ",'All products'!$G13," ",'All products'!$B13)</f>
        <v>Pantel Anti Dandruff Conditioner 200 ml</v>
      </c>
      <c r="E13" s="14">
        <v>490</v>
      </c>
      <c r="F13" s="14">
        <f>'All products'!$E13*1.2</f>
        <v>588</v>
      </c>
      <c r="G13" s="14" t="s">
        <v>38</v>
      </c>
      <c r="H13" s="14" t="s">
        <v>39</v>
      </c>
    </row>
    <row r="14" spans="1:8" ht="14.25" customHeight="1">
      <c r="A14" s="15" t="s">
        <v>54</v>
      </c>
      <c r="B14" s="14" t="s">
        <v>61</v>
      </c>
      <c r="C14" s="14" t="s">
        <v>53</v>
      </c>
      <c r="D14" s="16" t="str">
        <f>CONCATENATE('All products'!$A14," ",'All products'!$C14," ",'All products'!$G14," ",'All products'!$B14)</f>
        <v>Peak &amp; Shoulders Anti Dandruff Conditioner 200 ml</v>
      </c>
      <c r="E14" s="14">
        <v>500</v>
      </c>
      <c r="F14" s="14">
        <f>'All products'!$E14*1.2</f>
        <v>600</v>
      </c>
      <c r="G14" s="14" t="s">
        <v>38</v>
      </c>
      <c r="H14" s="14" t="s">
        <v>43</v>
      </c>
    </row>
    <row r="15" spans="1:8" ht="14.25" customHeight="1">
      <c r="A15" s="15" t="s">
        <v>56</v>
      </c>
      <c r="B15" s="14" t="s">
        <v>61</v>
      </c>
      <c r="C15" s="14" t="s">
        <v>57</v>
      </c>
      <c r="D15" s="16" t="str">
        <f>CONCATENATE('All products'!$A15," ",'All products'!$C15," ",'All products'!$G15," ",'All products'!$B15)</f>
        <v>Garnel Silky Smooth Conditioner 200 ml</v>
      </c>
      <c r="E15" s="14">
        <v>555</v>
      </c>
      <c r="F15" s="14">
        <f>'All products'!$E15*1.2</f>
        <v>666</v>
      </c>
      <c r="G15" s="14" t="s">
        <v>38</v>
      </c>
      <c r="H15" s="14" t="s">
        <v>41</v>
      </c>
    </row>
    <row r="16" spans="1:8" ht="14.25" customHeight="1">
      <c r="A16" s="18" t="s">
        <v>58</v>
      </c>
      <c r="B16" s="14" t="s">
        <v>61</v>
      </c>
      <c r="C16" s="14" t="s">
        <v>60</v>
      </c>
      <c r="D16" s="16" t="str">
        <f>CONCATENATE('All products'!$A16," ",'All products'!$C16," ",'All products'!$G16," ",'All products'!$B16)</f>
        <v>Herbaluxe Long and Strong Conditioner 200 ml</v>
      </c>
      <c r="E16" s="14">
        <v>600</v>
      </c>
      <c r="F16" s="14">
        <f>'All products'!$E16*1.2</f>
        <v>720</v>
      </c>
      <c r="G16" s="14" t="s">
        <v>38</v>
      </c>
      <c r="H16" s="14" t="s">
        <v>42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0"/>
  <sheetViews>
    <sheetView workbookViewId="0"/>
  </sheetViews>
  <sheetFormatPr defaultColWidth="14.42578125" defaultRowHeight="15" customHeight="1"/>
  <cols>
    <col min="1" max="1" width="13.140625" customWidth="1"/>
    <col min="2" max="2" width="38.7109375" customWidth="1"/>
    <col min="3" max="3" width="34.85546875" customWidth="1"/>
    <col min="4" max="4" width="45" customWidth="1"/>
    <col min="5" max="5" width="34.5703125" customWidth="1"/>
    <col min="6" max="6" width="40.42578125" customWidth="1"/>
    <col min="7" max="7" width="38.7109375" customWidth="1"/>
    <col min="8" max="8" width="34.85546875" customWidth="1"/>
    <col min="9" max="9" width="45" customWidth="1"/>
    <col min="10" max="10" width="34.5703125" customWidth="1"/>
    <col min="11" max="11" width="40.42578125" customWidth="1"/>
    <col min="12" max="12" width="41" customWidth="1"/>
    <col min="13" max="13" width="37.140625" customWidth="1"/>
    <col min="14" max="14" width="47.42578125" customWidth="1"/>
    <col min="15" max="15" width="36.85546875" customWidth="1"/>
    <col min="16" max="16" width="42.85546875" customWidth="1"/>
    <col min="17" max="17" width="11.28515625" customWidth="1"/>
    <col min="18" max="26" width="8.7109375" customWidth="1"/>
  </cols>
  <sheetData>
    <row r="1" spans="1:17" ht="14.25" customHeight="1"/>
    <row r="2" spans="1:17" ht="14.25" customHeight="1"/>
    <row r="3" spans="1:17" ht="14.25" customHeight="1">
      <c r="B3" s="19" t="s">
        <v>65</v>
      </c>
    </row>
    <row r="4" spans="1:17" ht="14.25" customHeight="1">
      <c r="A4" s="19" t="s">
        <v>66</v>
      </c>
      <c r="B4" s="20" t="s">
        <v>6</v>
      </c>
      <c r="C4" s="20" t="s">
        <v>18</v>
      </c>
      <c r="D4" s="20" t="s">
        <v>19</v>
      </c>
      <c r="E4" s="20" t="s">
        <v>20</v>
      </c>
      <c r="F4" s="20" t="s">
        <v>21</v>
      </c>
      <c r="G4" s="20" t="s">
        <v>22</v>
      </c>
      <c r="H4" s="20" t="s">
        <v>23</v>
      </c>
      <c r="I4" s="20" t="s">
        <v>24</v>
      </c>
      <c r="J4" s="20" t="s">
        <v>25</v>
      </c>
      <c r="K4" s="20" t="s">
        <v>26</v>
      </c>
      <c r="L4" s="20" t="s">
        <v>27</v>
      </c>
      <c r="M4" s="20" t="s">
        <v>28</v>
      </c>
      <c r="N4" s="20" t="s">
        <v>29</v>
      </c>
      <c r="O4" s="20" t="s">
        <v>30</v>
      </c>
      <c r="P4" s="20" t="s">
        <v>31</v>
      </c>
      <c r="Q4" s="20" t="s">
        <v>67</v>
      </c>
    </row>
    <row r="5" spans="1:17" ht="14.25" customHeight="1">
      <c r="A5" s="21">
        <v>44197</v>
      </c>
    </row>
    <row r="6" spans="1:17" ht="14.25" customHeight="1">
      <c r="A6" s="21">
        <v>44228</v>
      </c>
    </row>
    <row r="7" spans="1:17" ht="14.25" customHeight="1">
      <c r="A7" s="21">
        <v>44256</v>
      </c>
    </row>
    <row r="8" spans="1:17" ht="14.25" customHeight="1">
      <c r="A8" s="21">
        <v>44287</v>
      </c>
    </row>
    <row r="9" spans="1:17" ht="14.25" customHeight="1">
      <c r="A9" s="21">
        <v>44317</v>
      </c>
    </row>
    <row r="10" spans="1:17" ht="14.25" customHeight="1">
      <c r="A10" s="21">
        <v>44348</v>
      </c>
    </row>
    <row r="11" spans="1:17" ht="14.25" customHeight="1">
      <c r="A11" s="21">
        <v>44378</v>
      </c>
    </row>
    <row r="12" spans="1:17" ht="14.25" customHeight="1">
      <c r="A12" s="21">
        <v>44409</v>
      </c>
    </row>
    <row r="13" spans="1:17" ht="14.25" customHeight="1">
      <c r="A13" s="21">
        <v>44440</v>
      </c>
    </row>
    <row r="14" spans="1:17" ht="14.25" customHeight="1">
      <c r="A14" s="21">
        <v>44470</v>
      </c>
    </row>
    <row r="15" spans="1:17" ht="14.25" customHeight="1">
      <c r="A15" s="21">
        <v>44501</v>
      </c>
    </row>
    <row r="16" spans="1:17" ht="14.25" customHeight="1">
      <c r="A16" s="21">
        <v>44531</v>
      </c>
    </row>
    <row r="17" spans="1:1" ht="14.25" customHeight="1">
      <c r="A17" s="21">
        <v>44562</v>
      </c>
    </row>
    <row r="18" spans="1:1" ht="14.25" customHeight="1">
      <c r="A18" s="21">
        <v>44593</v>
      </c>
    </row>
    <row r="19" spans="1:1" ht="14.25" customHeight="1">
      <c r="A19" s="21">
        <v>44621</v>
      </c>
    </row>
    <row r="20" spans="1:1" ht="14.25" customHeight="1">
      <c r="A20" s="21">
        <v>44652</v>
      </c>
    </row>
    <row r="21" spans="1:1" ht="14.25" customHeight="1">
      <c r="A21" s="21">
        <v>44682</v>
      </c>
    </row>
    <row r="22" spans="1:1" ht="14.25" customHeight="1">
      <c r="A22" s="21">
        <v>44713</v>
      </c>
    </row>
    <row r="23" spans="1:1" ht="14.25" customHeight="1">
      <c r="A23" s="21">
        <v>44743</v>
      </c>
    </row>
    <row r="24" spans="1:1" ht="14.25" customHeight="1">
      <c r="A24" s="21">
        <v>44774</v>
      </c>
    </row>
    <row r="25" spans="1:1" ht="14.25" customHeight="1">
      <c r="A25" s="21">
        <v>44805</v>
      </c>
    </row>
    <row r="26" spans="1:1" ht="14.25" customHeight="1">
      <c r="A26" s="21">
        <v>44835</v>
      </c>
    </row>
    <row r="27" spans="1:1" ht="14.25" customHeight="1">
      <c r="A27" s="21">
        <v>44866</v>
      </c>
    </row>
    <row r="28" spans="1:1" ht="14.25" customHeight="1">
      <c r="A28" s="21">
        <v>44896</v>
      </c>
    </row>
    <row r="29" spans="1:1" ht="14.25" customHeight="1">
      <c r="A29" s="21" t="s">
        <v>67</v>
      </c>
    </row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4.25" customHeight="1">
      <c r="A1" s="22" t="s">
        <v>66</v>
      </c>
      <c r="B1" s="22" t="s">
        <v>68</v>
      </c>
      <c r="C1" s="22" t="s">
        <v>69</v>
      </c>
      <c r="D1" s="22" t="s">
        <v>70</v>
      </c>
      <c r="E1" s="22" t="s">
        <v>71</v>
      </c>
      <c r="F1" s="22" t="s">
        <v>72</v>
      </c>
    </row>
    <row r="2" spans="1:6" ht="14.25" customHeight="1">
      <c r="A2" s="21">
        <v>44197</v>
      </c>
      <c r="B2" s="20">
        <v>13320</v>
      </c>
      <c r="C2" s="20">
        <v>11200</v>
      </c>
      <c r="D2" s="20">
        <v>2652</v>
      </c>
      <c r="E2" s="20">
        <v>17020</v>
      </c>
      <c r="F2" s="20">
        <v>19013</v>
      </c>
    </row>
    <row r="3" spans="1:6" ht="14.25" customHeight="1">
      <c r="A3" s="21">
        <v>44228</v>
      </c>
      <c r="B3" s="20">
        <v>12950</v>
      </c>
      <c r="C3" s="20">
        <v>4668</v>
      </c>
      <c r="D3" s="20">
        <v>3144</v>
      </c>
      <c r="E3" s="20">
        <v>16650</v>
      </c>
      <c r="F3" s="20">
        <v>17527</v>
      </c>
    </row>
    <row r="4" spans="1:6" ht="14.25" customHeight="1">
      <c r="A4" s="21">
        <v>44256</v>
      </c>
      <c r="B4" s="20">
        <v>14800</v>
      </c>
      <c r="C4" s="20">
        <v>3836</v>
      </c>
      <c r="D4" s="20">
        <v>2836</v>
      </c>
      <c r="E4" s="20">
        <v>18500</v>
      </c>
      <c r="F4" s="20">
        <v>23332</v>
      </c>
    </row>
    <row r="5" spans="1:6" ht="14.25" customHeight="1">
      <c r="A5" s="21">
        <v>44287</v>
      </c>
      <c r="B5" s="20">
        <v>15540</v>
      </c>
      <c r="C5" s="20">
        <v>5897</v>
      </c>
      <c r="D5" s="20">
        <v>2312</v>
      </c>
      <c r="E5" s="20">
        <v>19240</v>
      </c>
      <c r="F5" s="20">
        <v>28386</v>
      </c>
    </row>
    <row r="6" spans="1:6" ht="14.25" customHeight="1">
      <c r="A6" s="21">
        <v>44317</v>
      </c>
      <c r="B6" s="20">
        <v>16280</v>
      </c>
      <c r="C6" s="20">
        <v>11540</v>
      </c>
      <c r="D6" s="20">
        <v>4221</v>
      </c>
      <c r="E6" s="20">
        <v>19980</v>
      </c>
      <c r="F6" s="20">
        <v>34200</v>
      </c>
    </row>
    <row r="7" spans="1:6" ht="14.25" customHeight="1">
      <c r="A7" s="21">
        <v>44348</v>
      </c>
      <c r="B7" s="20">
        <v>19240</v>
      </c>
      <c r="C7" s="20">
        <v>7937</v>
      </c>
      <c r="D7" s="20">
        <v>4744</v>
      </c>
      <c r="E7" s="20">
        <v>22940</v>
      </c>
      <c r="F7" s="20">
        <v>30968</v>
      </c>
    </row>
    <row r="8" spans="1:6" ht="14.25" customHeight="1">
      <c r="A8" s="21">
        <v>44378</v>
      </c>
      <c r="B8" s="20">
        <v>19980</v>
      </c>
      <c r="C8" s="20">
        <v>4967</v>
      </c>
      <c r="D8" s="20">
        <v>2238</v>
      </c>
      <c r="E8" s="20">
        <v>23680</v>
      </c>
      <c r="F8" s="20">
        <v>22314</v>
      </c>
    </row>
    <row r="9" spans="1:6" ht="14.25" customHeight="1">
      <c r="A9" s="21">
        <v>44409</v>
      </c>
      <c r="B9" s="20">
        <v>19610</v>
      </c>
      <c r="C9" s="20">
        <v>4251</v>
      </c>
      <c r="D9" s="20">
        <v>2252</v>
      </c>
      <c r="E9" s="20">
        <v>23310</v>
      </c>
      <c r="F9" s="20">
        <v>36623</v>
      </c>
    </row>
    <row r="10" spans="1:6" ht="14.25" customHeight="1">
      <c r="A10" s="21">
        <v>44440</v>
      </c>
      <c r="B10" s="20">
        <v>17760</v>
      </c>
      <c r="C10" s="20">
        <v>15600</v>
      </c>
      <c r="D10" s="20">
        <v>4994</v>
      </c>
      <c r="E10" s="20">
        <v>21460</v>
      </c>
      <c r="F10" s="20">
        <v>39944</v>
      </c>
    </row>
    <row r="11" spans="1:6" ht="14.25" customHeight="1">
      <c r="A11" s="21">
        <v>44470</v>
      </c>
      <c r="B11" s="20">
        <v>17020</v>
      </c>
      <c r="C11" s="20">
        <v>2711</v>
      </c>
      <c r="D11" s="20">
        <v>4891</v>
      </c>
      <c r="E11" s="20">
        <v>20720</v>
      </c>
      <c r="F11" s="20">
        <v>35677</v>
      </c>
    </row>
    <row r="12" spans="1:6" ht="14.25" customHeight="1">
      <c r="A12" s="21">
        <v>44501</v>
      </c>
      <c r="B12" s="20">
        <v>16650</v>
      </c>
      <c r="C12" s="20">
        <v>1909</v>
      </c>
      <c r="D12" s="20">
        <v>1380</v>
      </c>
      <c r="E12" s="20">
        <v>20350</v>
      </c>
      <c r="F12" s="20">
        <v>19009</v>
      </c>
    </row>
    <row r="13" spans="1:6" ht="14.25" customHeight="1">
      <c r="A13" s="21">
        <v>44531</v>
      </c>
      <c r="B13" s="20">
        <v>13690</v>
      </c>
      <c r="C13" s="20">
        <v>4797</v>
      </c>
      <c r="D13" s="20">
        <v>2131</v>
      </c>
      <c r="E13" s="20">
        <v>17390</v>
      </c>
      <c r="F13" s="20">
        <v>27311</v>
      </c>
    </row>
    <row r="14" spans="1:6" ht="14.25" customHeight="1">
      <c r="A14" s="21">
        <v>44562</v>
      </c>
      <c r="B14" s="20">
        <v>13172</v>
      </c>
      <c r="C14" s="20">
        <v>4000</v>
      </c>
      <c r="D14" s="20">
        <v>1000</v>
      </c>
      <c r="E14" s="20">
        <v>16872</v>
      </c>
      <c r="F14" s="20">
        <v>24350</v>
      </c>
    </row>
    <row r="15" spans="1:6" ht="14.25" customHeight="1">
      <c r="A15" s="21">
        <v>44593</v>
      </c>
      <c r="B15" s="20">
        <v>12802</v>
      </c>
      <c r="C15" s="20">
        <v>4256</v>
      </c>
      <c r="D15" s="20">
        <v>900</v>
      </c>
      <c r="E15" s="20">
        <v>16502</v>
      </c>
      <c r="F15" s="20">
        <v>27954</v>
      </c>
    </row>
    <row r="16" spans="1:6" ht="14.25" customHeight="1">
      <c r="A16" s="21">
        <v>44621</v>
      </c>
      <c r="B16" s="20">
        <v>14948</v>
      </c>
      <c r="C16" s="20">
        <v>3787</v>
      </c>
      <c r="D16" s="20">
        <v>991</v>
      </c>
      <c r="E16" s="20">
        <v>18648</v>
      </c>
      <c r="F16" s="20">
        <v>19175</v>
      </c>
    </row>
    <row r="17" spans="1:6" ht="14.25" customHeight="1">
      <c r="A17" s="21">
        <v>44652</v>
      </c>
      <c r="B17" s="20">
        <v>15688</v>
      </c>
      <c r="C17" s="20">
        <v>5090</v>
      </c>
      <c r="D17" s="20">
        <v>988</v>
      </c>
      <c r="E17" s="20">
        <v>19388</v>
      </c>
      <c r="F17" s="20">
        <v>20814</v>
      </c>
    </row>
    <row r="18" spans="1:6" ht="14.25" customHeight="1">
      <c r="A18" s="21">
        <v>44682</v>
      </c>
      <c r="B18" s="20">
        <v>16502</v>
      </c>
      <c r="C18" s="20">
        <v>5555</v>
      </c>
      <c r="D18" s="20">
        <v>976</v>
      </c>
      <c r="E18" s="20">
        <v>20202</v>
      </c>
      <c r="F18" s="20">
        <v>29955</v>
      </c>
    </row>
    <row r="19" spans="1:6" ht="14.25" customHeight="1">
      <c r="A19" s="21">
        <v>44713</v>
      </c>
      <c r="B19" s="20">
        <v>19462</v>
      </c>
      <c r="C19" s="20">
        <v>5567</v>
      </c>
      <c r="D19" s="20">
        <v>999</v>
      </c>
      <c r="E19" s="20">
        <v>23162</v>
      </c>
      <c r="F19" s="20">
        <v>43110</v>
      </c>
    </row>
    <row r="20" spans="1:6" ht="14.25" customHeight="1">
      <c r="A20" s="21">
        <v>44743</v>
      </c>
      <c r="B20" s="20">
        <v>20202</v>
      </c>
      <c r="C20" s="20">
        <v>8999</v>
      </c>
      <c r="D20" s="20">
        <v>700</v>
      </c>
      <c r="E20" s="20">
        <v>23902</v>
      </c>
      <c r="F20" s="20">
        <v>43026</v>
      </c>
    </row>
    <row r="21" spans="1:6" ht="14.25" customHeight="1">
      <c r="A21" s="21">
        <v>44774</v>
      </c>
      <c r="B21" s="20">
        <v>19832</v>
      </c>
      <c r="C21" s="20">
        <v>6777</v>
      </c>
      <c r="D21" s="20">
        <v>992</v>
      </c>
      <c r="E21" s="20">
        <v>23532</v>
      </c>
      <c r="F21" s="20">
        <v>27908</v>
      </c>
    </row>
    <row r="22" spans="1:6" ht="14.25" customHeight="1">
      <c r="A22" s="21">
        <v>44805</v>
      </c>
      <c r="B22" s="20">
        <v>17982</v>
      </c>
      <c r="C22" s="20">
        <v>4222</v>
      </c>
      <c r="D22" s="20">
        <v>768</v>
      </c>
      <c r="E22" s="20">
        <v>21682</v>
      </c>
      <c r="F22" s="20">
        <v>21605</v>
      </c>
    </row>
    <row r="23" spans="1:6" ht="14.25" customHeight="1">
      <c r="A23" s="21">
        <v>44835</v>
      </c>
      <c r="B23" s="20">
        <v>17168</v>
      </c>
      <c r="C23" s="20">
        <v>4321</v>
      </c>
      <c r="D23" s="20">
        <v>790</v>
      </c>
      <c r="E23" s="20">
        <v>20868</v>
      </c>
      <c r="F23" s="20">
        <v>31840</v>
      </c>
    </row>
    <row r="24" spans="1:6" ht="14.25" customHeight="1">
      <c r="A24" s="21">
        <v>44866</v>
      </c>
      <c r="B24" s="20">
        <v>16798</v>
      </c>
      <c r="C24" s="20">
        <v>4314</v>
      </c>
      <c r="D24" s="20">
        <v>890</v>
      </c>
      <c r="E24" s="20">
        <v>20498</v>
      </c>
      <c r="F24" s="20">
        <v>22315</v>
      </c>
    </row>
    <row r="25" spans="1:6" ht="14.25" customHeight="1">
      <c r="A25" s="21">
        <v>44896</v>
      </c>
      <c r="B25" s="20">
        <v>13838</v>
      </c>
      <c r="C25" s="20">
        <v>2890</v>
      </c>
      <c r="D25" s="20">
        <v>690</v>
      </c>
      <c r="E25" s="20">
        <v>17538</v>
      </c>
      <c r="F25" s="20">
        <v>19279</v>
      </c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/>
  <cols>
    <col min="1" max="1" width="8.7109375" customWidth="1"/>
    <col min="2" max="2" width="14.42578125" customWidth="1"/>
    <col min="3" max="26" width="8.7109375" customWidth="1"/>
  </cols>
  <sheetData>
    <row r="1" spans="1:8" ht="14.25" customHeight="1">
      <c r="A1" s="23" t="s">
        <v>0</v>
      </c>
      <c r="B1" s="23" t="s">
        <v>1</v>
      </c>
      <c r="C1" s="24" t="s">
        <v>73</v>
      </c>
    </row>
    <row r="2" spans="1:8" ht="14.25" customHeight="1">
      <c r="A2" s="25">
        <v>2021</v>
      </c>
      <c r="B2" s="25" t="s">
        <v>5</v>
      </c>
      <c r="C2" s="26">
        <v>190</v>
      </c>
      <c r="D2" s="20">
        <f t="shared" ref="D2:D25" si="0">C2*3</f>
        <v>570</v>
      </c>
      <c r="E2" s="20">
        <f ca="1">D2*(RAND()+0.5)</f>
        <v>524.94389712699308</v>
      </c>
      <c r="F2" s="20">
        <f t="shared" ref="F2:F25" ca="1" si="1">ROUND(E2,0)</f>
        <v>525</v>
      </c>
      <c r="G2" s="20">
        <f ca="1">D2*(0.1+RAND())</f>
        <v>411.11482786949341</v>
      </c>
      <c r="H2" s="20">
        <f t="shared" ref="H2:H25" ca="1" si="2">ROUND(G2,0)</f>
        <v>411</v>
      </c>
    </row>
    <row r="3" spans="1:8" ht="14.25" customHeight="1">
      <c r="A3" s="25">
        <v>2021</v>
      </c>
      <c r="B3" s="25" t="s">
        <v>7</v>
      </c>
      <c r="C3" s="26">
        <v>195</v>
      </c>
      <c r="D3" s="20">
        <f t="shared" si="0"/>
        <v>585</v>
      </c>
      <c r="E3" s="20">
        <f t="shared" ref="E3:E25" ca="1" si="3">D3*RAND()*1.5</f>
        <v>58.64669895471777</v>
      </c>
      <c r="F3" s="20">
        <f t="shared" ca="1" si="1"/>
        <v>59</v>
      </c>
      <c r="G3" s="20">
        <f t="shared" ref="G3:G25" ca="1" si="4">D3*(0.23+RAND())</f>
        <v>526.42860813001812</v>
      </c>
      <c r="H3" s="20">
        <f t="shared" ca="1" si="2"/>
        <v>526</v>
      </c>
    </row>
    <row r="4" spans="1:8" ht="14.25" customHeight="1">
      <c r="A4" s="25">
        <v>2021</v>
      </c>
      <c r="B4" s="25" t="s">
        <v>8</v>
      </c>
      <c r="C4" s="26">
        <v>202</v>
      </c>
      <c r="D4" s="20">
        <f t="shared" si="0"/>
        <v>606</v>
      </c>
      <c r="E4" s="20">
        <f t="shared" ca="1" si="3"/>
        <v>247.42982045307502</v>
      </c>
      <c r="F4" s="20">
        <f t="shared" ca="1" si="1"/>
        <v>247</v>
      </c>
      <c r="G4" s="20">
        <f t="shared" ca="1" si="4"/>
        <v>251.59715904221366</v>
      </c>
      <c r="H4" s="20">
        <f t="shared" ca="1" si="2"/>
        <v>252</v>
      </c>
    </row>
    <row r="5" spans="1:8" ht="14.25" customHeight="1">
      <c r="A5" s="25">
        <v>2021</v>
      </c>
      <c r="B5" s="25" t="s">
        <v>9</v>
      </c>
      <c r="C5" s="26">
        <v>210</v>
      </c>
      <c r="D5" s="20">
        <f t="shared" si="0"/>
        <v>630</v>
      </c>
      <c r="E5" s="20">
        <f t="shared" ca="1" si="3"/>
        <v>304.15102389389608</v>
      </c>
      <c r="F5" s="20">
        <f t="shared" ca="1" si="1"/>
        <v>304</v>
      </c>
      <c r="G5" s="20">
        <f t="shared" ca="1" si="4"/>
        <v>701.9977168238438</v>
      </c>
      <c r="H5" s="20">
        <f t="shared" ca="1" si="2"/>
        <v>702</v>
      </c>
    </row>
    <row r="6" spans="1:8" ht="14.25" customHeight="1">
      <c r="A6" s="25">
        <v>2021</v>
      </c>
      <c r="B6" s="25" t="s">
        <v>10</v>
      </c>
      <c r="C6" s="26">
        <v>220</v>
      </c>
      <c r="D6" s="20">
        <f t="shared" si="0"/>
        <v>660</v>
      </c>
      <c r="E6" s="20">
        <f t="shared" ca="1" si="3"/>
        <v>980.97543721413001</v>
      </c>
      <c r="F6" s="20">
        <f t="shared" ca="1" si="1"/>
        <v>981</v>
      </c>
      <c r="G6" s="20">
        <f t="shared" ca="1" si="4"/>
        <v>497.22389541992169</v>
      </c>
      <c r="H6" s="20">
        <f t="shared" ca="1" si="2"/>
        <v>497</v>
      </c>
    </row>
    <row r="7" spans="1:8" ht="14.25" customHeight="1">
      <c r="A7" s="25">
        <v>2021</v>
      </c>
      <c r="B7" s="25" t="s">
        <v>11</v>
      </c>
      <c r="C7" s="26">
        <v>232</v>
      </c>
      <c r="D7" s="20">
        <f t="shared" si="0"/>
        <v>696</v>
      </c>
      <c r="E7" s="20">
        <f t="shared" ca="1" si="3"/>
        <v>560.43216422814567</v>
      </c>
      <c r="F7" s="20">
        <f t="shared" ca="1" si="1"/>
        <v>560</v>
      </c>
      <c r="G7" s="20">
        <f t="shared" ca="1" si="4"/>
        <v>228.00068643654976</v>
      </c>
      <c r="H7" s="20">
        <f t="shared" ca="1" si="2"/>
        <v>228</v>
      </c>
    </row>
    <row r="8" spans="1:8" ht="14.25" customHeight="1">
      <c r="A8" s="25">
        <v>2021</v>
      </c>
      <c r="B8" s="25" t="s">
        <v>12</v>
      </c>
      <c r="C8" s="26">
        <v>245</v>
      </c>
      <c r="D8" s="20">
        <f t="shared" si="0"/>
        <v>735</v>
      </c>
      <c r="E8" s="20">
        <f t="shared" ca="1" si="3"/>
        <v>40.506566548018796</v>
      </c>
      <c r="F8" s="20">
        <f t="shared" ca="1" si="1"/>
        <v>41</v>
      </c>
      <c r="G8" s="20">
        <f t="shared" ca="1" si="4"/>
        <v>739.20985098140898</v>
      </c>
      <c r="H8" s="20">
        <f t="shared" ca="1" si="2"/>
        <v>739</v>
      </c>
    </row>
    <row r="9" spans="1:8" ht="14.25" customHeight="1">
      <c r="A9" s="25">
        <v>2021</v>
      </c>
      <c r="B9" s="25" t="s">
        <v>13</v>
      </c>
      <c r="C9" s="26">
        <v>260</v>
      </c>
      <c r="D9" s="20">
        <f t="shared" si="0"/>
        <v>780</v>
      </c>
      <c r="E9" s="20">
        <f t="shared" ca="1" si="3"/>
        <v>732.12398489072871</v>
      </c>
      <c r="F9" s="20">
        <f t="shared" ca="1" si="1"/>
        <v>732</v>
      </c>
      <c r="G9" s="20">
        <f t="shared" ca="1" si="4"/>
        <v>892.83174798885955</v>
      </c>
      <c r="H9" s="20">
        <f t="shared" ca="1" si="2"/>
        <v>893</v>
      </c>
    </row>
    <row r="10" spans="1:8" ht="14.25" customHeight="1">
      <c r="A10" s="25">
        <v>2021</v>
      </c>
      <c r="B10" s="25" t="s">
        <v>14</v>
      </c>
      <c r="C10" s="26">
        <v>276</v>
      </c>
      <c r="D10" s="20">
        <f t="shared" si="0"/>
        <v>828</v>
      </c>
      <c r="E10" s="20">
        <f t="shared" ca="1" si="3"/>
        <v>952.02961590922109</v>
      </c>
      <c r="F10" s="20">
        <f t="shared" ca="1" si="1"/>
        <v>952</v>
      </c>
      <c r="G10" s="20">
        <f t="shared" ca="1" si="4"/>
        <v>490.96099793835702</v>
      </c>
      <c r="H10" s="20">
        <f t="shared" ca="1" si="2"/>
        <v>491</v>
      </c>
    </row>
    <row r="11" spans="1:8" ht="14.25" customHeight="1">
      <c r="A11" s="25">
        <v>2021</v>
      </c>
      <c r="B11" s="25" t="s">
        <v>15</v>
      </c>
      <c r="C11" s="26">
        <v>293</v>
      </c>
      <c r="D11" s="20">
        <f t="shared" si="0"/>
        <v>879</v>
      </c>
      <c r="E11" s="20">
        <f t="shared" ca="1" si="3"/>
        <v>91.921211273874491</v>
      </c>
      <c r="F11" s="20">
        <f t="shared" ca="1" si="1"/>
        <v>92</v>
      </c>
      <c r="G11" s="20">
        <f t="shared" ca="1" si="4"/>
        <v>611.2870486133794</v>
      </c>
      <c r="H11" s="20">
        <f t="shared" ca="1" si="2"/>
        <v>611</v>
      </c>
    </row>
    <row r="12" spans="1:8" ht="14.25" customHeight="1">
      <c r="A12" s="25">
        <v>2021</v>
      </c>
      <c r="B12" s="25" t="s">
        <v>16</v>
      </c>
      <c r="C12" s="26">
        <v>312</v>
      </c>
      <c r="D12" s="20">
        <f t="shared" si="0"/>
        <v>936</v>
      </c>
      <c r="E12" s="20">
        <f t="shared" ca="1" si="3"/>
        <v>1236.2320156758765</v>
      </c>
      <c r="F12" s="20">
        <f t="shared" ca="1" si="1"/>
        <v>1236</v>
      </c>
      <c r="G12" s="20">
        <f t="shared" ca="1" si="4"/>
        <v>1082.8419367790016</v>
      </c>
      <c r="H12" s="20">
        <f t="shared" ca="1" si="2"/>
        <v>1083</v>
      </c>
    </row>
    <row r="13" spans="1:8" ht="14.25" customHeight="1">
      <c r="A13" s="25">
        <v>2021</v>
      </c>
      <c r="B13" s="25" t="s">
        <v>17</v>
      </c>
      <c r="C13" s="26">
        <v>332</v>
      </c>
      <c r="D13" s="20">
        <f t="shared" si="0"/>
        <v>996</v>
      </c>
      <c r="E13" s="20">
        <f t="shared" ca="1" si="3"/>
        <v>1197.6634012785833</v>
      </c>
      <c r="F13" s="20">
        <f t="shared" ca="1" si="1"/>
        <v>1198</v>
      </c>
      <c r="G13" s="20">
        <f t="shared" ca="1" si="4"/>
        <v>882.85762911706843</v>
      </c>
      <c r="H13" s="20">
        <f t="shared" ca="1" si="2"/>
        <v>883</v>
      </c>
    </row>
    <row r="14" spans="1:8" ht="14.25" customHeight="1">
      <c r="A14" s="25">
        <v>2022</v>
      </c>
      <c r="B14" s="25" t="s">
        <v>5</v>
      </c>
      <c r="C14" s="26">
        <v>354</v>
      </c>
      <c r="D14" s="20">
        <f t="shared" si="0"/>
        <v>1062</v>
      </c>
      <c r="E14" s="20">
        <f t="shared" ca="1" si="3"/>
        <v>1162.6571181028244</v>
      </c>
      <c r="F14" s="20">
        <f t="shared" ca="1" si="1"/>
        <v>1163</v>
      </c>
      <c r="G14" s="20">
        <f t="shared" ca="1" si="4"/>
        <v>960.51392654659628</v>
      </c>
      <c r="H14" s="20">
        <f t="shared" ca="1" si="2"/>
        <v>961</v>
      </c>
    </row>
    <row r="15" spans="1:8" ht="14.25" customHeight="1">
      <c r="A15" s="25">
        <v>2022</v>
      </c>
      <c r="B15" s="25" t="s">
        <v>7</v>
      </c>
      <c r="C15" s="26">
        <v>378</v>
      </c>
      <c r="D15" s="20">
        <f t="shared" si="0"/>
        <v>1134</v>
      </c>
      <c r="E15" s="20">
        <f t="shared" ca="1" si="3"/>
        <v>1582.5939703565939</v>
      </c>
      <c r="F15" s="20">
        <f t="shared" ca="1" si="1"/>
        <v>1583</v>
      </c>
      <c r="G15" s="20">
        <f t="shared" ca="1" si="4"/>
        <v>1113.1399900722552</v>
      </c>
      <c r="H15" s="20">
        <f t="shared" ca="1" si="2"/>
        <v>1113</v>
      </c>
    </row>
    <row r="16" spans="1:8" ht="14.25" customHeight="1">
      <c r="A16" s="25">
        <v>2022</v>
      </c>
      <c r="B16" s="25" t="s">
        <v>8</v>
      </c>
      <c r="C16" s="26">
        <v>404</v>
      </c>
      <c r="D16" s="20">
        <f t="shared" si="0"/>
        <v>1212</v>
      </c>
      <c r="E16" s="20">
        <f t="shared" ca="1" si="3"/>
        <v>82.31183141158121</v>
      </c>
      <c r="F16" s="20">
        <f t="shared" ca="1" si="1"/>
        <v>82</v>
      </c>
      <c r="G16" s="20">
        <f t="shared" ca="1" si="4"/>
        <v>1092.9691623459453</v>
      </c>
      <c r="H16" s="20">
        <f t="shared" ca="1" si="2"/>
        <v>1093</v>
      </c>
    </row>
    <row r="17" spans="1:8" ht="14.25" customHeight="1">
      <c r="A17" s="25">
        <v>2022</v>
      </c>
      <c r="B17" s="25" t="s">
        <v>9</v>
      </c>
      <c r="C17" s="26">
        <v>432</v>
      </c>
      <c r="D17" s="20">
        <f t="shared" si="0"/>
        <v>1296</v>
      </c>
      <c r="E17" s="20">
        <f t="shared" ca="1" si="3"/>
        <v>1238.7630541134524</v>
      </c>
      <c r="F17" s="20">
        <f t="shared" ca="1" si="1"/>
        <v>1239</v>
      </c>
      <c r="G17" s="20">
        <f t="shared" ca="1" si="4"/>
        <v>449.57938120558862</v>
      </c>
      <c r="H17" s="20">
        <f t="shared" ca="1" si="2"/>
        <v>450</v>
      </c>
    </row>
    <row r="18" spans="1:8" ht="14.25" customHeight="1">
      <c r="A18" s="25">
        <v>2022</v>
      </c>
      <c r="B18" s="25" t="s">
        <v>10</v>
      </c>
      <c r="C18" s="26">
        <v>462</v>
      </c>
      <c r="D18" s="20">
        <f t="shared" si="0"/>
        <v>1386</v>
      </c>
      <c r="E18" s="20">
        <f t="shared" ca="1" si="3"/>
        <v>202.24847477754048</v>
      </c>
      <c r="F18" s="20">
        <f t="shared" ca="1" si="1"/>
        <v>202</v>
      </c>
      <c r="G18" s="20">
        <f t="shared" ca="1" si="4"/>
        <v>723.90136171619963</v>
      </c>
      <c r="H18" s="20">
        <f t="shared" ca="1" si="2"/>
        <v>724</v>
      </c>
    </row>
    <row r="19" spans="1:8" ht="14.25" customHeight="1">
      <c r="A19" s="25">
        <v>2022</v>
      </c>
      <c r="B19" s="25" t="s">
        <v>11</v>
      </c>
      <c r="C19" s="26">
        <v>494</v>
      </c>
      <c r="D19" s="20">
        <f t="shared" si="0"/>
        <v>1482</v>
      </c>
      <c r="E19" s="20">
        <f t="shared" ca="1" si="3"/>
        <v>283.45792436895744</v>
      </c>
      <c r="F19" s="20">
        <f t="shared" ca="1" si="1"/>
        <v>283</v>
      </c>
      <c r="G19" s="20">
        <f t="shared" ca="1" si="4"/>
        <v>687.76581732412933</v>
      </c>
      <c r="H19" s="20">
        <f t="shared" ca="1" si="2"/>
        <v>688</v>
      </c>
    </row>
    <row r="20" spans="1:8" ht="14.25" customHeight="1">
      <c r="A20" s="25">
        <v>2022</v>
      </c>
      <c r="B20" s="25" t="s">
        <v>12</v>
      </c>
      <c r="C20" s="26">
        <v>528</v>
      </c>
      <c r="D20" s="20">
        <f t="shared" si="0"/>
        <v>1584</v>
      </c>
      <c r="E20" s="20">
        <f t="shared" ca="1" si="3"/>
        <v>1703.790565229303</v>
      </c>
      <c r="F20" s="20">
        <f t="shared" ca="1" si="1"/>
        <v>1704</v>
      </c>
      <c r="G20" s="20">
        <f t="shared" ca="1" si="4"/>
        <v>695.8315491567937</v>
      </c>
      <c r="H20" s="20">
        <f t="shared" ca="1" si="2"/>
        <v>696</v>
      </c>
    </row>
    <row r="21" spans="1:8" ht="14.25" customHeight="1">
      <c r="A21" s="25">
        <v>2022</v>
      </c>
      <c r="B21" s="25" t="s">
        <v>13</v>
      </c>
      <c r="C21" s="26">
        <v>564</v>
      </c>
      <c r="D21" s="20">
        <f t="shared" si="0"/>
        <v>1692</v>
      </c>
      <c r="E21" s="20">
        <f t="shared" ca="1" si="3"/>
        <v>187.11267380062969</v>
      </c>
      <c r="F21" s="20">
        <f t="shared" ca="1" si="1"/>
        <v>187</v>
      </c>
      <c r="G21" s="20">
        <f t="shared" ca="1" si="4"/>
        <v>676.31842348147438</v>
      </c>
      <c r="H21" s="20">
        <f t="shared" ca="1" si="2"/>
        <v>676</v>
      </c>
    </row>
    <row r="22" spans="1:8" ht="14.25" customHeight="1">
      <c r="A22" s="25">
        <v>2022</v>
      </c>
      <c r="B22" s="25" t="s">
        <v>14</v>
      </c>
      <c r="C22" s="26">
        <v>602</v>
      </c>
      <c r="D22" s="20">
        <f t="shared" si="0"/>
        <v>1806</v>
      </c>
      <c r="E22" s="20">
        <f t="shared" ca="1" si="3"/>
        <v>1192.9502691963851</v>
      </c>
      <c r="F22" s="20">
        <f t="shared" ca="1" si="1"/>
        <v>1193</v>
      </c>
      <c r="G22" s="20">
        <f t="shared" ca="1" si="4"/>
        <v>2057.633507984945</v>
      </c>
      <c r="H22" s="20">
        <f t="shared" ca="1" si="2"/>
        <v>2058</v>
      </c>
    </row>
    <row r="23" spans="1:8" ht="14.25" customHeight="1">
      <c r="A23" s="25">
        <v>2022</v>
      </c>
      <c r="B23" s="25" t="s">
        <v>15</v>
      </c>
      <c r="C23" s="26">
        <v>642</v>
      </c>
      <c r="D23" s="20">
        <f t="shared" si="0"/>
        <v>1926</v>
      </c>
      <c r="E23" s="20">
        <f t="shared" ca="1" si="3"/>
        <v>2155.3307632802953</v>
      </c>
      <c r="F23" s="20">
        <f t="shared" ca="1" si="1"/>
        <v>2155</v>
      </c>
      <c r="G23" s="20">
        <f t="shared" ca="1" si="4"/>
        <v>1378.3431404296689</v>
      </c>
      <c r="H23" s="20">
        <f t="shared" ca="1" si="2"/>
        <v>1378</v>
      </c>
    </row>
    <row r="24" spans="1:8" ht="14.25" customHeight="1">
      <c r="A24" s="25">
        <v>2022</v>
      </c>
      <c r="B24" s="25" t="s">
        <v>16</v>
      </c>
      <c r="C24" s="26">
        <v>684</v>
      </c>
      <c r="D24" s="20">
        <f t="shared" si="0"/>
        <v>2052</v>
      </c>
      <c r="E24" s="20">
        <f t="shared" ca="1" si="3"/>
        <v>2049.1798552206565</v>
      </c>
      <c r="F24" s="20">
        <f t="shared" ca="1" si="1"/>
        <v>2049</v>
      </c>
      <c r="G24" s="20">
        <f t="shared" ca="1" si="4"/>
        <v>2217.4792488490566</v>
      </c>
      <c r="H24" s="20">
        <f t="shared" ca="1" si="2"/>
        <v>2217</v>
      </c>
    </row>
    <row r="25" spans="1:8" ht="14.25" customHeight="1">
      <c r="A25" s="25">
        <v>2022</v>
      </c>
      <c r="B25" s="25" t="s">
        <v>17</v>
      </c>
      <c r="C25" s="26">
        <v>728</v>
      </c>
      <c r="D25" s="20">
        <f t="shared" si="0"/>
        <v>2184</v>
      </c>
      <c r="E25" s="20">
        <f t="shared" ca="1" si="3"/>
        <v>2262.1197664121742</v>
      </c>
      <c r="F25" s="20">
        <f t="shared" ca="1" si="1"/>
        <v>2262</v>
      </c>
      <c r="G25" s="20">
        <f t="shared" ca="1" si="4"/>
        <v>1147.0277592190241</v>
      </c>
      <c r="H25" s="20">
        <f t="shared" ca="1" si="2"/>
        <v>1147</v>
      </c>
    </row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Sheet Imtiazy</vt:lpstr>
      <vt:lpstr>Price Sheet</vt:lpstr>
      <vt:lpstr>All products</vt:lpstr>
      <vt:lpstr>Sheet8</vt:lpstr>
      <vt:lpstr>Sheet9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Abbas</cp:lastModifiedBy>
  <dcterms:modified xsi:type="dcterms:W3CDTF">2024-08-27T09:56:45Z</dcterms:modified>
</cp:coreProperties>
</file>